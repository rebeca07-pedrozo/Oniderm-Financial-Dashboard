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 del proyecto" sheetId="1" state="visible" r:id="rId3"/>
    <sheet name="listas desplegables" sheetId="2" state="visible" r:id="rId4"/>
  </sheets>
  <definedNames>
    <definedName function="false" hidden="false" localSheetId="0" name="_xlnm.Print_Area" vbProcedure="false">'Presupuesto del proyecto'!$B$1:$S$28</definedName>
    <definedName function="false" hidden="false" name="Priority" vbProcedure="false">#REF!</definedName>
    <definedName function="false" hidden="false" name="Status" vbProcedure="false">'listas desplegables'!$D$5:$D$7</definedName>
    <definedName function="false" hidden="false" name="YesNo" vbProcedure="false">'listas desplegables'!$B$5:$B$6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Tarifa de la cotización de la plataforma: $66.000/h (ver nota de supuestos al final).</t>
        </r>
      </text>
    </comment>
    <comment ref="L23" authorId="0">
      <text>
        <r>
          <rPr>
            <sz val="10"/>
            <rFont val="Arial"/>
            <family val="2"/>
          </rPr>
          <t xml:space="preserve">Valor de referencia por mes; cotizar con el proveedor de facturación electrónica.</t>
        </r>
      </text>
    </comment>
    <comment ref="L25" authorId="0">
      <text>
        <r>
          <rPr>
            <sz val="10"/>
            <rFont val="Arial"/>
            <family val="2"/>
          </rPr>
          <t xml:space="preserve">Valor de referencia por usuario al mes; verificar el precio vigente de Google Workspace en COP.</t>
        </r>
      </text>
    </comment>
    <comment ref="Q5" authorId="0">
      <text>
        <r>
          <rPr>
            <sz val="10"/>
            <rFont val="Arial"/>
            <family val="2"/>
          </rPr>
          <t xml:space="preserve">Presupuesto = horas × valor hora + materiales + costos fijos, más 10 % de contingencia.</t>
        </r>
      </text>
    </comment>
  </commentList>
</comments>
</file>

<file path=xl/sharedStrings.xml><?xml version="1.0" encoding="utf-8"?>
<sst xmlns="http://schemas.openxmlformats.org/spreadsheetml/2006/main" count="152" uniqueCount="90">
  <si>
    <t xml:space="preserve">Presupuesto de Proyecto</t>
  </si>
  <si>
    <t xml:space="preserve">El usuario debe completar solo las celdas no sombreadas.</t>
  </si>
  <si>
    <t xml:space="preserve">Mano de Obra</t>
  </si>
  <si>
    <t xml:space="preserve">Materiales</t>
  </si>
  <si>
    <t xml:space="preserve">Costos Fijos</t>
  </si>
  <si>
    <t xml:space="preserve">Balance</t>
  </si>
  <si>
    <t xml:space="preserve">TAREA</t>
  </si>
  <si>
    <t xml:space="preserve">DESCRIPCION</t>
  </si>
  <si>
    <t xml:space="preserve">ESTADO</t>
  </si>
  <si>
    <t xml:space="preserve">FECHA INICIO PLANIFICADA</t>
  </si>
  <si>
    <t xml:space="preserve">FECHA INICIO REAL</t>
  </si>
  <si>
    <t xml:space="preserve">FECHA FIN</t>
  </si>
  <si>
    <t xml:space="preserve">HORAS</t>
  </si>
  <si>
    <t xml:space="preserve">VALOR HORA</t>
  </si>
  <si>
    <t xml:space="preserve">TOTAL MANO DE OBRA</t>
  </si>
  <si>
    <t xml:space="preserve">UNIDADES</t>
  </si>
  <si>
    <t xml:space="preserve">VALOR UNIDAD</t>
  </si>
  <si>
    <t xml:space="preserve">TOTAL MATERIALES</t>
  </si>
  <si>
    <t xml:space="preserve">VIAJES</t>
  </si>
  <si>
    <t xml:space="preserve">EQUIPOS</t>
  </si>
  <si>
    <t xml:space="preserve">MISCELANEOS</t>
  </si>
  <si>
    <t xml:space="preserve">PRESUPUESTO</t>
  </si>
  <si>
    <t xml:space="preserve">REAL</t>
  </si>
  <si>
    <t xml:space="preserve">Diferencia (Menos / Más del Presupuesto)</t>
  </si>
  <si>
    <t xml:space="preserve">Inversion </t>
  </si>
  <si>
    <t xml:space="preserve">Funcionamiento</t>
  </si>
  <si>
    <t xml:space="preserve">FASE 1 · PLATAFORMA ONIDERM (EJECUTADA)</t>
  </si>
  <si>
    <t xml:space="preserve">Diagnóstico y corrección de la app financiera</t>
  </si>
  <si>
    <t xml:space="preserve">Revisión del código, función aFecha duplicada, página que no cargaba, validación contra listas desplegables</t>
  </si>
  <si>
    <t xml:space="preserve">Completo</t>
  </si>
  <si>
    <t xml:space="preserve">S</t>
  </si>
  <si>
    <t xml:space="preserve">Análisis y migración del inventario</t>
  </si>
  <si>
    <t xml:space="preserve">Diagnóstico de 6 hojas y 262 registros, modelo de 26 columnas, migración con normalización de fechas</t>
  </si>
  <si>
    <t xml:space="preserve">Backend del módulo de logística</t>
  </si>
  <si>
    <t xml:space="preserve">Semáforo de 6 estados, registro con duplicados, bajas, tablero y alerta diaria por correo</t>
  </si>
  <si>
    <t xml:space="preserve">Interfaz: logística, tablero y responsive</t>
  </si>
  <si>
    <t xml:space="preserve">Formulario de insumos, tablero de logística, agrupación del dashboard, logo y vista en celular</t>
  </si>
  <si>
    <t xml:space="preserve">Módulo de pacientes y factura pendiente</t>
  </si>
  <si>
    <t xml:space="preserve">Cédula, nombres y apellidos normalizados; búsqueda, edición y lista de facturas pendientes</t>
  </si>
  <si>
    <t xml:space="preserve">Pruebas</t>
  </si>
  <si>
    <t xml:space="preserve">Simulador de Apps Script, pruebas con datos reales y pruebas de punta a punta en navegador</t>
  </si>
  <si>
    <t xml:space="preserve">Documentación y licencia</t>
  </si>
  <si>
    <t xml:space="preserve">README con capturas, manual de usuario en Google Docs y licencia propietaria</t>
  </si>
  <si>
    <t xml:space="preserve">Puesta en marcha y acompañamiento</t>
  </si>
  <si>
    <t xml:space="preserve">Configuración de propiedades, migración en vivo, disparador diario y resolución de dudas</t>
  </si>
  <si>
    <t xml:space="preserve">Infraestructura en la nube</t>
  </si>
  <si>
    <t xml:space="preserve">Google Apps Script, Sheets, Drive y Gmail dentro de la cuenta existente: sin servidores ni licencias nuevas</t>
  </si>
  <si>
    <t xml:space="preserve">SUBTOTAL</t>
  </si>
  <si>
    <t xml:space="preserve">FASE 2 · ROADMAP TO-BE (PROPUESTA)</t>
  </si>
  <si>
    <t xml:space="preserve">Maestro de pacientes</t>
  </si>
  <si>
    <t xml:space="preserve">Hoja PACIENTES con la cédula como llave y completar la cédula en el histórico</t>
  </si>
  <si>
    <t xml:space="preserve">No Iniciado</t>
  </si>
  <si>
    <t xml:space="preserve">ID y bitácora de movimientos</t>
  </si>
  <si>
    <t xml:space="preserve">Identificador por ingreso y egreso, y registro de quién cambió qué y cuándo</t>
  </si>
  <si>
    <t xml:space="preserve">Fuente única de datos maestros</t>
  </si>
  <si>
    <t xml:space="preserve">CUENTAS CONTABLES como única fuente de servicios, profesionales y listas</t>
  </si>
  <si>
    <t xml:space="preserve">Consumo de inventario y compras</t>
  </si>
  <si>
    <t xml:space="preserve">Botón "Usar" para descontar unidades y relación entre la compra (egreso) y el lote</t>
  </si>
  <si>
    <t xml:space="preserve">Integración con facturación electrónica</t>
  </si>
  <si>
    <t xml:space="preserve">Conectar la plataforma con el proveedor de facturación (API) y suscripción por 12 meses</t>
  </si>
  <si>
    <t xml:space="preserve">Respaldo y exportación de datos</t>
  </si>
  <si>
    <t xml:space="preserve">Copia automática semanal fuera de las hojas operativas y exportación a BigQuery (capa gratuita)</t>
  </si>
  <si>
    <t xml:space="preserve">Seguridad de cuentas</t>
  </si>
  <si>
    <t xml:space="preserve">Google Workspace para 5 usuarios por 12 meses: doble factor obligatorio y registro de accesos</t>
  </si>
  <si>
    <t xml:space="preserve">Política de tratamiento de datos</t>
  </si>
  <si>
    <t xml:space="preserve">Política y formato de autorización según la Ley 1581 de 2012, con asesoría legal</t>
  </si>
  <si>
    <t xml:space="preserve">Capacitación y soporte</t>
  </si>
  <si>
    <t xml:space="preserve">Capacitación del equipo (6 h) y soporte mensual de la plataforma por 12 meses</t>
  </si>
  <si>
    <t xml:space="preserve">TOTAL PROYECTO (FASE 1 + FASE 2)</t>
  </si>
  <si>
    <t xml:space="preserve">SUPUESTOS Y FUENTES</t>
  </si>
  <si>
    <t xml:space="preserve">Fechas de la fase 1: reales, tomadas del historial de cambios del repositorio (8 al 17 de octubre de 2026).</t>
  </si>
  <si>
    <t xml:space="preserve">Horas de la fase 1: estimadas para una persona sola, tomadas de la cotización de la plataforma. Si registraron las horas reales, reemplácenlas en la columna HORAS.</t>
  </si>
  <si>
    <t xml:space="preserve">Valor hora: $66.000, tarifa de la cotización (salario de referencia de un analista de $4.500.000 × factor prestacional 1,52 ÷ 182 h × factor independiente 1,75).</t>
  </si>
  <si>
    <t xml:space="preserve">Presupuesto (columna Q): estimado de cada tarea + 10 % de contingencia. Por eso la diferencia sale negativa: la contingencia no se usó.</t>
  </si>
  <si>
    <t xml:space="preserve">Abogado: $180.000 por hora, valor de referencia de la plantilla original.</t>
  </si>
  <si>
    <t xml:space="preserve">Facturación electrónica ($90.000/mes) y Google Workspace ($30.000 por usuario al mes): valores de referencia; cotizar con el proveedor antes de aprobar.</t>
  </si>
  <si>
    <t xml:space="preserve">Inversión = desarrollo que deja un activo. Funcionamiento = gasto recurrente (suscripciones, soporte, nube).</t>
  </si>
  <si>
    <t xml:space="preserve">listas desplegables</t>
  </si>
  <si>
    <t xml:space="preserve">SI / NO</t>
  </si>
  <si>
    <t xml:space="preserve">PRIORIDAD</t>
  </si>
  <si>
    <t xml:space="preserve">Si</t>
  </si>
  <si>
    <t xml:space="preserve">Baja</t>
  </si>
  <si>
    <t xml:space="preserve">No</t>
  </si>
  <si>
    <t xml:space="preserve">Media</t>
  </si>
  <si>
    <t xml:space="preserve">En Progreso</t>
  </si>
  <si>
    <t xml:space="preserve">Alta</t>
  </si>
  <si>
    <t xml:space="preserve">Requiere Revisión</t>
  </si>
  <si>
    <t xml:space="preserve">Aprobado</t>
  </si>
  <si>
    <t xml:space="preserve">Atrasado</t>
  </si>
  <si>
    <t xml:space="preserve">En Espera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</si>
</sst>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;@"/>
    <numFmt numFmtId="166" formatCode="dd/mm/yyyy"/>
    <numFmt numFmtId="167" formatCode="0.0"/>
    <numFmt numFmtId="168" formatCode="_(\$* #,##0.00_);_(\$* \(#,##0.00\);_(\$* \-??_);_(@_)"/>
    <numFmt numFmtId="169" formatCode="\$#,##0.00_);&quot;($&quot;#,##0.00\)"/>
    <numFmt numFmtId="170" formatCode="\$#,##0_);&quot;($&quot;#,##0\)"/>
    <numFmt numFmtId="171" formatCode="_(\$* #,##0_);_(\$* \(#,##0\);_(\$* \-??_);_(@_)"/>
    <numFmt numFmtId="172" formatCode="_(* #,##0.00_);_(* \(#,##0.00\);_(* \-??_);_(@_)"/>
  </numFmts>
  <fonts count="2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 val="true"/>
      <sz val="24"/>
      <color theme="1" tint="0.3499"/>
      <name val="Century Gothic"/>
      <family val="1"/>
      <charset val="1"/>
    </font>
    <font>
      <b val="true"/>
      <sz val="22"/>
      <color theme="1" tint="0.3499"/>
      <name val="Century Gothic"/>
      <family val="1"/>
      <charset val="1"/>
    </font>
    <font>
      <b val="true"/>
      <sz val="20"/>
      <color theme="0" tint="-0.5"/>
      <name val="Century Gothic"/>
      <family val="1"/>
      <charset val="1"/>
    </font>
    <font>
      <sz val="12"/>
      <color theme="1" tint="0.3499"/>
      <name val="Century Gothic"/>
      <family val="1"/>
      <charset val="1"/>
    </font>
    <font>
      <b val="true"/>
      <sz val="10"/>
      <color theme="0"/>
      <name val="Century Gothic"/>
      <family val="2"/>
      <charset val="1"/>
    </font>
    <font>
      <sz val="10"/>
      <name val="Century Gothic"/>
      <family val="1"/>
      <charset val="1"/>
    </font>
    <font>
      <sz val="10"/>
      <color theme="0"/>
      <name val="Century Gothic"/>
      <family val="1"/>
      <charset val="1"/>
    </font>
    <font>
      <sz val="10"/>
      <name val="Century Gothic"/>
      <family val="2"/>
      <charset val="1"/>
    </font>
    <font>
      <b val="true"/>
      <sz val="10"/>
      <name val="Century Gothic"/>
      <family val="1"/>
      <charset val="1"/>
    </font>
    <font>
      <b val="true"/>
      <sz val="10"/>
      <name val="Century Gothic"/>
      <family val="0"/>
      <charset val="1"/>
    </font>
    <font>
      <sz val="10"/>
      <name val="Century Gothic"/>
      <family val="0"/>
      <charset val="1"/>
    </font>
    <font>
      <sz val="10"/>
      <name val="Arial"/>
      <family val="2"/>
    </font>
    <font>
      <sz val="22"/>
      <color theme="1" tint="0.3499"/>
      <name val="Century Gothic"/>
      <family val="1"/>
      <charset val="1"/>
    </font>
    <font>
      <b val="true"/>
      <sz val="10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1"/>
      <color rgb="FF000000"/>
      <name val="Century Gothic"/>
      <family val="1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 tint="0.3499"/>
        <bgColor rgb="FF44546A"/>
      </patternFill>
    </fill>
    <fill>
      <patternFill patternType="solid">
        <fgColor theme="3" tint="-0.25"/>
        <bgColor rgb="FF44546A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15"/>
        <bgColor rgb="FFDAE3F3"/>
      </patternFill>
    </fill>
    <fill>
      <patternFill patternType="solid">
        <fgColor theme="3"/>
        <bgColor rgb="FF595959"/>
      </patternFill>
    </fill>
    <fill>
      <patternFill patternType="solid">
        <fgColor rgb="FFB6FBF5"/>
        <bgColor rgb="FFABEFEA"/>
      </patternFill>
    </fill>
    <fill>
      <patternFill patternType="solid">
        <fgColor rgb="FF00EAF0"/>
        <bgColor rgb="FF00FFFF"/>
      </patternFill>
    </fill>
    <fill>
      <patternFill patternType="solid">
        <fgColor theme="7" tint="0.7999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6A6A6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3C25B"/>
      </patternFill>
    </fill>
    <fill>
      <patternFill patternType="solid">
        <fgColor rgb="FFABEFEA"/>
        <bgColor rgb="FFB6FBF5"/>
      </patternFill>
    </fill>
    <fill>
      <patternFill patternType="solid">
        <fgColor rgb="FF5EE9E7"/>
        <bgColor rgb="FFABEFEA"/>
      </patternFill>
    </fill>
    <fill>
      <patternFill patternType="solid">
        <fgColor theme="7" tint="0.3999"/>
        <bgColor rgb="FFFFF2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dashed">
        <color theme="0" tint="-0.35"/>
      </right>
      <top/>
      <bottom/>
      <diagonal/>
    </border>
    <border diagonalUp="false" diagonalDown="false">
      <left/>
      <right style="thin">
        <color theme="0" tint="-0.2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double">
        <color theme="0" tint="-0.3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double">
        <color theme="0" tint="-0.35"/>
      </left>
      <right style="medium">
        <color theme="0" tint="-0.3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dashed">
        <color theme="0" tint="-0.35"/>
      </right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double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double">
        <color theme="0" tint="-0.35"/>
      </left>
      <right style="dashed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medium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medium">
        <color theme="0" tint="-0.3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dashed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0" tint="-0.25"/>
      </top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5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5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" fillId="2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" fillId="0" borderId="9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6" fontId="5" fillId="0" borderId="14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7" fontId="11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1" fillId="0" borderId="9" xfId="17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11" fillId="5" borderId="9" xfId="17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11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1" fillId="0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11" fillId="0" borderId="10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1" fontId="5" fillId="0" borderId="1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6" borderId="12" xfId="17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5" fillId="7" borderId="12" xfId="1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8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3" fillId="8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10" fillId="8" borderId="9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0" fillId="8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0" fillId="8" borderId="10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1" fontId="10" fillId="8" borderId="1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8" borderId="12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7" fontId="11" fillId="2" borderId="0" xfId="0" applyFont="true" applyBorder="false" applyAlignment="true" applyProtection="true">
      <alignment horizontal="left" vertical="center" textRotation="0" wrapText="true" indent="1" shrinkToFit="false"/>
      <protection locked="false" hidden="false"/>
    </xf>
    <xf numFmtId="169" fontId="11" fillId="2" borderId="0" xfId="17" applyFont="true" applyBorder="false" applyAlignment="true" applyProtection="true">
      <alignment horizontal="left" vertical="center" textRotation="0" wrapText="true" indent="1" shrinkToFit="false"/>
      <protection locked="false" hidden="false"/>
    </xf>
    <xf numFmtId="172" fontId="11" fillId="2" borderId="0" xfId="17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72" fontId="14" fillId="2" borderId="0" xfId="0" applyFont="true" applyBorder="false" applyAlignment="true" applyProtection="true">
      <alignment horizontal="left" vertical="center" textRotation="0" wrapText="true" indent="1" shrinkToFit="false"/>
      <protection locked="fals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9" fontId="11" fillId="2" borderId="0" xfId="17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72" fontId="11" fillId="2" borderId="0" xfId="1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14" fillId="2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10" fillId="8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1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3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20" fillId="14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5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7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7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8">
    <dxf>
      <fill>
        <patternFill>
          <bgColor rgb="FFFFF2CC"/>
        </patternFill>
      </fill>
    </dxf>
    <dxf>
      <fill>
        <patternFill>
          <bgColor rgb="FF5EE9E7"/>
        </patternFill>
      </fill>
    </dxf>
    <dxf>
      <fill>
        <patternFill>
          <bgColor theme="0" tint="-0.2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ABEFEA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7" tint="0.7999"/>
        </patternFill>
      </fill>
    </dxf>
    <dxf>
      <fill>
        <patternFill>
          <bgColor theme="0" tint="-0.15"/>
        </patternFill>
      </fill>
    </dxf>
    <dxf>
      <fill>
        <patternFill>
          <bgColor theme="7" tint="0.3999"/>
        </patternFill>
      </fill>
    </dxf>
    <dxf>
      <font>
        <color rgb="FF000000"/>
      </font>
      <fill>
        <patternFill>
          <bgColor rgb="FF03C25B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E7FFCA"/>
        </patternFill>
      </fill>
    </dxf>
    <dxf>
      <font>
        <color rgb="FF600000"/>
      </font>
      <fill>
        <patternFill>
          <bgColor rgb="FFFF927C"/>
        </patternFill>
      </fill>
    </dxf>
    <dxf>
      <font>
        <color rgb="FF000000"/>
      </font>
      <fill>
        <patternFill>
          <bgColor rgb="FF00EAF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EAF0"/>
      <rgbColor rgb="FF600000"/>
      <rgbColor rgb="FF008000"/>
      <rgbColor rgb="FF000080"/>
      <rgbColor rgb="FF808000"/>
      <rgbColor rgb="FF800080"/>
      <rgbColor rgb="FF03C25B"/>
      <rgbColor rgb="FFBFBFBF"/>
      <rgbColor rgb="FF808080"/>
      <rgbColor rgb="FF9999FF"/>
      <rgbColor rgb="FF993366"/>
      <rgbColor rgb="FFFFF2CC"/>
      <rgbColor rgb="FFB6FBF5"/>
      <rgbColor rgb="FF660066"/>
      <rgbColor rgb="FFFF927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BEFEA"/>
      <rgbColor rgb="FFE7FFCA"/>
      <rgbColor rgb="FFF2F2F2"/>
      <rgbColor rgb="FFADB9CA"/>
      <rgbColor rgb="FFFF99CC"/>
      <rgbColor rgb="FFDAE3F3"/>
      <rgbColor rgb="FFFFD966"/>
      <rgbColor rgb="FF3366FF"/>
      <rgbColor rgb="FF5EE9E7"/>
      <rgbColor rgb="FF92D050"/>
      <rgbColor rgb="FFFFC000"/>
      <rgbColor rgb="FFFF9900"/>
      <rgbColor rgb="FFFF6600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44546A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B9CA"/>
    <pageSetUpPr fitToPage="true"/>
  </sheetPr>
  <dimension ref="A1:AO417"/>
  <sheetViews>
    <sheetView showFormulas="false" showGridLines="fals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C11" activeCellId="0" sqref="C11"/>
    </sheetView>
  </sheetViews>
  <sheetFormatPr defaultColWidth="11.00390625" defaultRowHeight="13.5" zeroHeight="false" outlineLevelRow="0" outlineLevelCol="0"/>
  <cols>
    <col collapsed="false" customWidth="true" hidden="false" outlineLevel="0" max="1" min="1" style="1" width="3.13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12.88"/>
    <col collapsed="false" customWidth="true" hidden="false" outlineLevel="0" max="7" min="5" style="1" width="11.63"/>
    <col collapsed="false" customWidth="true" hidden="false" outlineLevel="0" max="8" min="8" style="1" width="8.87"/>
    <col collapsed="false" customWidth="true" hidden="false" outlineLevel="0" max="9" min="9" style="1" width="16.5"/>
    <col collapsed="false" customWidth="true" hidden="false" outlineLevel="0" max="10" min="10" style="1" width="11.88"/>
    <col collapsed="false" customWidth="true" hidden="false" outlineLevel="0" max="11" min="11" style="1" width="8.87"/>
    <col collapsed="false" customWidth="true" hidden="false" outlineLevel="0" max="12" min="12" style="1" width="14.88"/>
    <col collapsed="false" customWidth="true" hidden="false" outlineLevel="0" max="15" min="13" style="1" width="11.88"/>
    <col collapsed="false" customWidth="true" hidden="false" outlineLevel="0" max="16" min="16" style="1" width="17"/>
    <col collapsed="false" customWidth="true" hidden="false" outlineLevel="0" max="18" min="17" style="1" width="12.88"/>
    <col collapsed="false" customWidth="true" hidden="false" outlineLevel="0" max="19" min="19" style="1" width="20.25"/>
    <col collapsed="false" customWidth="true" hidden="false" outlineLevel="0" max="20" min="20" style="1" width="10.63"/>
    <col collapsed="false" customWidth="true" hidden="false" outlineLevel="0" max="21" min="21" style="1" width="14.63"/>
    <col collapsed="false" customWidth="false" hidden="false" outlineLevel="0" max="16384" min="22" style="1" width="11"/>
  </cols>
  <sheetData>
    <row r="1" customFormat="false" ht="45" hidden="false" customHeight="true" outlineLevel="0" collapsed="false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="13" customFormat="true" ht="34.5" hidden="false" customHeight="true" outlineLevel="0" collapsed="false">
      <c r="A2" s="6"/>
      <c r="B2" s="7" t="s">
        <v>1</v>
      </c>
      <c r="C2" s="7"/>
      <c r="D2" s="7"/>
      <c r="E2" s="7"/>
      <c r="F2" s="7"/>
      <c r="G2" s="8"/>
      <c r="H2" s="9" t="s">
        <v>2</v>
      </c>
      <c r="I2" s="9"/>
      <c r="J2" s="9"/>
      <c r="K2" s="10" t="s">
        <v>3</v>
      </c>
      <c r="L2" s="10"/>
      <c r="M2" s="10"/>
      <c r="N2" s="11" t="s">
        <v>4</v>
      </c>
      <c r="O2" s="11"/>
      <c r="P2" s="11"/>
      <c r="Q2" s="12" t="s">
        <v>5</v>
      </c>
      <c r="R2" s="12"/>
      <c r="S2" s="12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="13" customFormat="true" ht="34.5" hidden="false" customHeight="true" outlineLevel="0" collapsed="false">
      <c r="A3" s="6"/>
      <c r="B3" s="14" t="s">
        <v>6</v>
      </c>
      <c r="C3" s="14" t="s">
        <v>7</v>
      </c>
      <c r="D3" s="14" t="s">
        <v>8</v>
      </c>
      <c r="E3" s="15" t="s">
        <v>9</v>
      </c>
      <c r="F3" s="15" t="s">
        <v>10</v>
      </c>
      <c r="G3" s="16" t="s">
        <v>11</v>
      </c>
      <c r="H3" s="17" t="s">
        <v>12</v>
      </c>
      <c r="I3" s="18" t="s">
        <v>13</v>
      </c>
      <c r="J3" s="18" t="s">
        <v>14</v>
      </c>
      <c r="K3" s="15" t="s">
        <v>15</v>
      </c>
      <c r="L3" s="15" t="s">
        <v>16</v>
      </c>
      <c r="M3" s="15" t="s">
        <v>17</v>
      </c>
      <c r="N3" s="15" t="s">
        <v>18</v>
      </c>
      <c r="O3" s="15" t="s">
        <v>19</v>
      </c>
      <c r="P3" s="19" t="s">
        <v>20</v>
      </c>
      <c r="Q3" s="20" t="s">
        <v>21</v>
      </c>
      <c r="R3" s="21" t="s">
        <v>22</v>
      </c>
      <c r="S3" s="22" t="s">
        <v>23</v>
      </c>
      <c r="T3" s="22" t="s">
        <v>24</v>
      </c>
      <c r="U3" s="22" t="s">
        <v>25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="13" customFormat="true" ht="30" hidden="false" customHeight="true" outlineLevel="0" collapsed="false">
      <c r="A4" s="6"/>
      <c r="B4" s="23" t="s">
        <v>26</v>
      </c>
      <c r="C4" s="24"/>
      <c r="D4" s="24"/>
      <c r="E4" s="25"/>
      <c r="F4" s="25"/>
      <c r="G4" s="26"/>
      <c r="H4" s="27"/>
      <c r="I4" s="28"/>
      <c r="J4" s="28"/>
      <c r="K4" s="28"/>
      <c r="L4" s="28"/>
      <c r="M4" s="28"/>
      <c r="N4" s="28"/>
      <c r="O4" s="28"/>
      <c r="P4" s="29"/>
      <c r="Q4" s="30"/>
      <c r="R4" s="31"/>
      <c r="S4" s="31"/>
      <c r="T4" s="30"/>
      <c r="U4" s="30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="13" customFormat="true" ht="45" hidden="false" customHeight="true" outlineLevel="0" collapsed="false">
      <c r="A5" s="6"/>
      <c r="B5" s="32" t="s">
        <v>27</v>
      </c>
      <c r="C5" s="32" t="s">
        <v>28</v>
      </c>
      <c r="D5" s="33" t="s">
        <v>29</v>
      </c>
      <c r="E5" s="34" t="n">
        <v>46303</v>
      </c>
      <c r="F5" s="34" t="n">
        <v>46303</v>
      </c>
      <c r="G5" s="35" t="n">
        <v>46303</v>
      </c>
      <c r="H5" s="36" t="n">
        <v>21.5</v>
      </c>
      <c r="I5" s="37" t="n">
        <v>66000</v>
      </c>
      <c r="J5" s="38" t="n">
        <f aca="false">H5*I5</f>
        <v>1419000</v>
      </c>
      <c r="K5" s="39"/>
      <c r="L5" s="37"/>
      <c r="M5" s="38" t="n">
        <f aca="false">K5*L5</f>
        <v>0</v>
      </c>
      <c r="N5" s="40"/>
      <c r="O5" s="40"/>
      <c r="P5" s="41"/>
      <c r="Q5" s="42" t="n">
        <v>1561000</v>
      </c>
      <c r="R5" s="43" t="n">
        <f aca="false">J5+M5+N5+O5+P5</f>
        <v>1419000</v>
      </c>
      <c r="S5" s="44" t="n">
        <f aca="false">R5-Q5</f>
        <v>-142000</v>
      </c>
      <c r="T5" s="42" t="s">
        <v>30</v>
      </c>
      <c r="U5" s="42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="13" customFormat="true" ht="45" hidden="false" customHeight="true" outlineLevel="0" collapsed="false">
      <c r="A6" s="6"/>
      <c r="B6" s="32" t="s">
        <v>31</v>
      </c>
      <c r="C6" s="32" t="s">
        <v>32</v>
      </c>
      <c r="D6" s="33" t="s">
        <v>29</v>
      </c>
      <c r="E6" s="34" t="n">
        <v>46303</v>
      </c>
      <c r="F6" s="34" t="n">
        <v>46303</v>
      </c>
      <c r="G6" s="35" t="n">
        <v>46303</v>
      </c>
      <c r="H6" s="36" t="n">
        <v>25</v>
      </c>
      <c r="I6" s="37" t="n">
        <v>66000</v>
      </c>
      <c r="J6" s="38" t="n">
        <f aca="false">H6*I6</f>
        <v>1650000</v>
      </c>
      <c r="K6" s="39"/>
      <c r="L6" s="37"/>
      <c r="M6" s="38" t="n">
        <f aca="false">K6*L6</f>
        <v>0</v>
      </c>
      <c r="N6" s="40"/>
      <c r="O6" s="40"/>
      <c r="P6" s="41"/>
      <c r="Q6" s="42" t="n">
        <v>1815000</v>
      </c>
      <c r="R6" s="43" t="n">
        <f aca="false">J6+M6+N6+O6+P6</f>
        <v>1650000</v>
      </c>
      <c r="S6" s="44" t="n">
        <f aca="false">R6-Q6</f>
        <v>-165000</v>
      </c>
      <c r="T6" s="42" t="s">
        <v>30</v>
      </c>
      <c r="U6" s="42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="13" customFormat="true" ht="45" hidden="false" customHeight="true" outlineLevel="0" collapsed="false">
      <c r="A7" s="6"/>
      <c r="B7" s="32" t="s">
        <v>33</v>
      </c>
      <c r="C7" s="32" t="s">
        <v>34</v>
      </c>
      <c r="D7" s="33" t="s">
        <v>29</v>
      </c>
      <c r="E7" s="34" t="n">
        <v>46303</v>
      </c>
      <c r="F7" s="34" t="n">
        <v>46303</v>
      </c>
      <c r="G7" s="35" t="n">
        <v>46303</v>
      </c>
      <c r="H7" s="36" t="n">
        <v>39</v>
      </c>
      <c r="I7" s="37" t="n">
        <v>66000</v>
      </c>
      <c r="J7" s="38" t="n">
        <f aca="false">H7*I7</f>
        <v>2574000</v>
      </c>
      <c r="K7" s="39"/>
      <c r="L7" s="37"/>
      <c r="M7" s="38" t="n">
        <f aca="false">K7*L7</f>
        <v>0</v>
      </c>
      <c r="N7" s="40"/>
      <c r="O7" s="40"/>
      <c r="P7" s="41"/>
      <c r="Q7" s="42" t="n">
        <v>2831000</v>
      </c>
      <c r="R7" s="43" t="n">
        <f aca="false">J7+M7+N7+O7+P7</f>
        <v>2574000</v>
      </c>
      <c r="S7" s="44" t="n">
        <f aca="false">R7-Q7</f>
        <v>-257000</v>
      </c>
      <c r="T7" s="42" t="s">
        <v>30</v>
      </c>
      <c r="U7" s="42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="13" customFormat="true" ht="45" hidden="false" customHeight="true" outlineLevel="0" collapsed="false">
      <c r="A8" s="6"/>
      <c r="B8" s="32" t="s">
        <v>35</v>
      </c>
      <c r="C8" s="32" t="s">
        <v>36</v>
      </c>
      <c r="D8" s="33" t="s">
        <v>29</v>
      </c>
      <c r="E8" s="34" t="n">
        <v>46303</v>
      </c>
      <c r="F8" s="34" t="n">
        <v>46303</v>
      </c>
      <c r="G8" s="35" t="n">
        <v>46304</v>
      </c>
      <c r="H8" s="36" t="n">
        <v>38</v>
      </c>
      <c r="I8" s="37" t="n">
        <v>66000</v>
      </c>
      <c r="J8" s="38" t="n">
        <f aca="false">H8*I8</f>
        <v>2508000</v>
      </c>
      <c r="K8" s="39"/>
      <c r="L8" s="37"/>
      <c r="M8" s="38" t="n">
        <f aca="false">K8*L8</f>
        <v>0</v>
      </c>
      <c r="N8" s="40"/>
      <c r="O8" s="40"/>
      <c r="P8" s="41"/>
      <c r="Q8" s="42" t="n">
        <v>2759000</v>
      </c>
      <c r="R8" s="43" t="n">
        <f aca="false">J8+M8+N8+O8+P8</f>
        <v>2508000</v>
      </c>
      <c r="S8" s="44" t="n">
        <f aca="false">R8-Q8</f>
        <v>-251000</v>
      </c>
      <c r="T8" s="42" t="s">
        <v>30</v>
      </c>
      <c r="U8" s="42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="13" customFormat="true" ht="45" hidden="false" customHeight="true" outlineLevel="0" collapsed="false">
      <c r="A9" s="6"/>
      <c r="B9" s="32" t="s">
        <v>37</v>
      </c>
      <c r="C9" s="32" t="s">
        <v>38</v>
      </c>
      <c r="D9" s="33" t="s">
        <v>29</v>
      </c>
      <c r="E9" s="34" t="n">
        <v>46312</v>
      </c>
      <c r="F9" s="34" t="n">
        <v>46312</v>
      </c>
      <c r="G9" s="35" t="n">
        <v>46312</v>
      </c>
      <c r="H9" s="36" t="n">
        <v>14</v>
      </c>
      <c r="I9" s="37" t="n">
        <v>66000</v>
      </c>
      <c r="J9" s="38" t="n">
        <f aca="false">H9*I9</f>
        <v>924000</v>
      </c>
      <c r="K9" s="39"/>
      <c r="L9" s="37"/>
      <c r="M9" s="38" t="n">
        <f aca="false">K9*L9</f>
        <v>0</v>
      </c>
      <c r="N9" s="40"/>
      <c r="O9" s="40"/>
      <c r="P9" s="41"/>
      <c r="Q9" s="42" t="n">
        <v>1016000</v>
      </c>
      <c r="R9" s="43" t="n">
        <f aca="false">J9+M9+N9+O9+P9</f>
        <v>924000</v>
      </c>
      <c r="S9" s="44" t="n">
        <f aca="false">R9-Q9</f>
        <v>-92000</v>
      </c>
      <c r="T9" s="42" t="s">
        <v>30</v>
      </c>
      <c r="U9" s="42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="13" customFormat="true" ht="45" hidden="false" customHeight="true" outlineLevel="0" collapsed="false">
      <c r="A10" s="6"/>
      <c r="B10" s="32" t="s">
        <v>39</v>
      </c>
      <c r="C10" s="32" t="s">
        <v>40</v>
      </c>
      <c r="D10" s="33" t="s">
        <v>29</v>
      </c>
      <c r="E10" s="34" t="n">
        <v>46303</v>
      </c>
      <c r="F10" s="34" t="n">
        <v>46303</v>
      </c>
      <c r="G10" s="35" t="n">
        <v>46312</v>
      </c>
      <c r="H10" s="36" t="n">
        <v>10</v>
      </c>
      <c r="I10" s="37" t="n">
        <v>66000</v>
      </c>
      <c r="J10" s="38" t="n">
        <f aca="false">H10*I10</f>
        <v>660000</v>
      </c>
      <c r="K10" s="39"/>
      <c r="L10" s="37"/>
      <c r="M10" s="38" t="n">
        <f aca="false">K10*L10</f>
        <v>0</v>
      </c>
      <c r="N10" s="40"/>
      <c r="O10" s="40"/>
      <c r="P10" s="41"/>
      <c r="Q10" s="42" t="n">
        <v>726000</v>
      </c>
      <c r="R10" s="43" t="n">
        <f aca="false">J10+M10+N10+O10+P10</f>
        <v>660000</v>
      </c>
      <c r="S10" s="44" t="n">
        <f aca="false">R10-Q10</f>
        <v>-66000</v>
      </c>
      <c r="T10" s="42" t="s">
        <v>30</v>
      </c>
      <c r="U10" s="42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="13" customFormat="true" ht="45" hidden="false" customHeight="true" outlineLevel="0" collapsed="false">
      <c r="A11" s="6"/>
      <c r="B11" s="32" t="s">
        <v>41</v>
      </c>
      <c r="C11" s="32" t="s">
        <v>42</v>
      </c>
      <c r="D11" s="33" t="s">
        <v>29</v>
      </c>
      <c r="E11" s="34" t="n">
        <v>46303</v>
      </c>
      <c r="F11" s="34" t="n">
        <v>46303</v>
      </c>
      <c r="G11" s="35" t="n">
        <v>46308</v>
      </c>
      <c r="H11" s="36" t="n">
        <v>12</v>
      </c>
      <c r="I11" s="37" t="n">
        <v>66000</v>
      </c>
      <c r="J11" s="38" t="n">
        <f aca="false">H11*I11</f>
        <v>792000</v>
      </c>
      <c r="K11" s="39"/>
      <c r="L11" s="37"/>
      <c r="M11" s="38" t="n">
        <f aca="false">K11*L11</f>
        <v>0</v>
      </c>
      <c r="N11" s="40"/>
      <c r="O11" s="40"/>
      <c r="P11" s="41"/>
      <c r="Q11" s="42" t="n">
        <v>871000</v>
      </c>
      <c r="R11" s="43" t="n">
        <f aca="false">J11+M11+N11+O11+P11</f>
        <v>792000</v>
      </c>
      <c r="S11" s="44" t="n">
        <f aca="false">R11-Q11</f>
        <v>-79000</v>
      </c>
      <c r="T11" s="42" t="s">
        <v>30</v>
      </c>
      <c r="U11" s="42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="13" customFormat="true" ht="45" hidden="false" customHeight="true" outlineLevel="0" collapsed="false">
      <c r="A12" s="6"/>
      <c r="B12" s="32" t="s">
        <v>43</v>
      </c>
      <c r="C12" s="32" t="s">
        <v>44</v>
      </c>
      <c r="D12" s="33" t="s">
        <v>29</v>
      </c>
      <c r="E12" s="34" t="n">
        <v>46303</v>
      </c>
      <c r="F12" s="34" t="n">
        <v>46303</v>
      </c>
      <c r="G12" s="35" t="n">
        <v>46312</v>
      </c>
      <c r="H12" s="36" t="n">
        <v>5</v>
      </c>
      <c r="I12" s="37" t="n">
        <v>66000</v>
      </c>
      <c r="J12" s="38" t="n">
        <f aca="false">H12*I12</f>
        <v>330000</v>
      </c>
      <c r="K12" s="39"/>
      <c r="L12" s="37"/>
      <c r="M12" s="38" t="n">
        <f aca="false">K12*L12</f>
        <v>0</v>
      </c>
      <c r="N12" s="40"/>
      <c r="O12" s="40"/>
      <c r="P12" s="41"/>
      <c r="Q12" s="42" t="n">
        <v>363000</v>
      </c>
      <c r="R12" s="43" t="n">
        <f aca="false">J12+M12+N12+O12+P12</f>
        <v>330000</v>
      </c>
      <c r="S12" s="44" t="n">
        <f aca="false">R12-Q12</f>
        <v>-33000</v>
      </c>
      <c r="T12" s="42" t="s">
        <v>30</v>
      </c>
      <c r="U12" s="42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="13" customFormat="true" ht="45" hidden="false" customHeight="true" outlineLevel="0" collapsed="false">
      <c r="A13" s="6"/>
      <c r="B13" s="32" t="s">
        <v>45</v>
      </c>
      <c r="C13" s="32" t="s">
        <v>46</v>
      </c>
      <c r="D13" s="33" t="s">
        <v>29</v>
      </c>
      <c r="E13" s="34" t="n">
        <v>46303</v>
      </c>
      <c r="F13" s="34" t="n">
        <v>46303</v>
      </c>
      <c r="G13" s="35" t="n">
        <v>46303</v>
      </c>
      <c r="H13" s="36" t="n">
        <v>0</v>
      </c>
      <c r="I13" s="37" t="n">
        <v>0</v>
      </c>
      <c r="J13" s="38" t="n">
        <f aca="false">H13*I13</f>
        <v>0</v>
      </c>
      <c r="K13" s="39" t="n">
        <v>12</v>
      </c>
      <c r="L13" s="37" t="n">
        <v>0</v>
      </c>
      <c r="M13" s="38" t="n">
        <f aca="false">K13*L13</f>
        <v>0</v>
      </c>
      <c r="N13" s="40"/>
      <c r="O13" s="40"/>
      <c r="P13" s="41"/>
      <c r="Q13" s="42" t="n">
        <v>0</v>
      </c>
      <c r="R13" s="43" t="n">
        <f aca="false">J13+M13+N13+O13+P13</f>
        <v>0</v>
      </c>
      <c r="S13" s="44" t="n">
        <f aca="false">R13-Q13</f>
        <v>0</v>
      </c>
      <c r="T13" s="42"/>
      <c r="U13" s="42" t="s">
        <v>30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="13" customFormat="true" ht="30" hidden="false" customHeight="true" outlineLevel="0" collapsed="false">
      <c r="A14" s="6"/>
      <c r="B14" s="45" t="s">
        <v>47</v>
      </c>
      <c r="C14" s="45"/>
      <c r="D14" s="46"/>
      <c r="E14" s="47"/>
      <c r="F14" s="47"/>
      <c r="G14" s="48"/>
      <c r="H14" s="49"/>
      <c r="I14" s="50"/>
      <c r="J14" s="51" t="n">
        <f aca="false">SUM(J5:J13)</f>
        <v>10857000</v>
      </c>
      <c r="K14" s="51"/>
      <c r="L14" s="51"/>
      <c r="M14" s="51" t="n">
        <f aca="false">SUM(M5:M13)</f>
        <v>0</v>
      </c>
      <c r="N14" s="51" t="n">
        <f aca="false">SUM(N5:N13)</f>
        <v>0</v>
      </c>
      <c r="O14" s="51" t="n">
        <f aca="false">SUM(O5:O13)</f>
        <v>0</v>
      </c>
      <c r="P14" s="52" t="n">
        <f aca="false">SUM(P5:P13)</f>
        <v>0</v>
      </c>
      <c r="Q14" s="53" t="n">
        <f aca="false">SUM(Q5:Q13)</f>
        <v>11942000</v>
      </c>
      <c r="R14" s="54" t="n">
        <f aca="false">SUM(J14:P14)</f>
        <v>10857000</v>
      </c>
      <c r="S14" s="54" t="n">
        <f aca="false">R14-Q14</f>
        <v>-1085000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="13" customFormat="true" ht="10.5" hidden="false" customHeight="true" outlineLevel="0" collapsed="false">
      <c r="A15" s="6"/>
      <c r="B15" s="55"/>
      <c r="C15" s="55"/>
      <c r="D15" s="55"/>
      <c r="E15" s="55"/>
      <c r="F15" s="55"/>
      <c r="G15" s="55"/>
      <c r="H15" s="56"/>
      <c r="I15" s="57"/>
      <c r="J15" s="57"/>
      <c r="K15" s="56"/>
      <c r="L15" s="57"/>
      <c r="M15" s="57"/>
      <c r="N15" s="56"/>
      <c r="O15" s="56"/>
      <c r="P15" s="57"/>
      <c r="Q15" s="58"/>
      <c r="R15" s="57"/>
      <c r="S15" s="59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="13" customFormat="true" ht="34.5" hidden="false" customHeight="true" outlineLevel="0" collapsed="false">
      <c r="A16" s="6"/>
      <c r="B16" s="7" t="s">
        <v>1</v>
      </c>
      <c r="C16" s="7"/>
      <c r="D16" s="7"/>
      <c r="E16" s="7"/>
      <c r="F16" s="7"/>
      <c r="G16" s="8"/>
      <c r="H16" s="9" t="s">
        <v>2</v>
      </c>
      <c r="I16" s="9"/>
      <c r="J16" s="9"/>
      <c r="K16" s="10" t="s">
        <v>3</v>
      </c>
      <c r="L16" s="10"/>
      <c r="M16" s="10"/>
      <c r="N16" s="11" t="s">
        <v>4</v>
      </c>
      <c r="O16" s="11"/>
      <c r="P16" s="11"/>
      <c r="Q16" s="12" t="s">
        <v>5</v>
      </c>
      <c r="R16" s="12"/>
      <c r="S16" s="12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="13" customFormat="true" ht="56.25" hidden="false" customHeight="true" outlineLevel="0" collapsed="false">
      <c r="A17" s="6"/>
      <c r="B17" s="14" t="s">
        <v>6</v>
      </c>
      <c r="C17" s="14" t="s">
        <v>7</v>
      </c>
      <c r="D17" s="14" t="s">
        <v>8</v>
      </c>
      <c r="E17" s="15" t="s">
        <v>9</v>
      </c>
      <c r="F17" s="15" t="s">
        <v>10</v>
      </c>
      <c r="G17" s="16" t="s">
        <v>11</v>
      </c>
      <c r="H17" s="17" t="s">
        <v>12</v>
      </c>
      <c r="I17" s="18" t="s">
        <v>13</v>
      </c>
      <c r="J17" s="18" t="s">
        <v>14</v>
      </c>
      <c r="K17" s="15" t="s">
        <v>15</v>
      </c>
      <c r="L17" s="15" t="s">
        <v>16</v>
      </c>
      <c r="M17" s="15" t="s">
        <v>17</v>
      </c>
      <c r="N17" s="15" t="s">
        <v>18</v>
      </c>
      <c r="O17" s="15" t="s">
        <v>19</v>
      </c>
      <c r="P17" s="19" t="s">
        <v>20</v>
      </c>
      <c r="Q17" s="20" t="s">
        <v>21</v>
      </c>
      <c r="R17" s="21" t="s">
        <v>22</v>
      </c>
      <c r="S17" s="22" t="s">
        <v>23</v>
      </c>
      <c r="T17" s="22" t="s">
        <v>24</v>
      </c>
      <c r="U17" s="22" t="s">
        <v>25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="13" customFormat="true" ht="30" hidden="false" customHeight="true" outlineLevel="0" collapsed="false">
      <c r="A18" s="6"/>
      <c r="B18" s="23" t="s">
        <v>48</v>
      </c>
      <c r="C18" s="24"/>
      <c r="D18" s="24"/>
      <c r="E18" s="25"/>
      <c r="F18" s="25"/>
      <c r="G18" s="26"/>
      <c r="H18" s="27"/>
      <c r="I18" s="28"/>
      <c r="J18" s="28"/>
      <c r="K18" s="28"/>
      <c r="L18" s="28"/>
      <c r="M18" s="28"/>
      <c r="N18" s="28"/>
      <c r="O18" s="28"/>
      <c r="P18" s="29"/>
      <c r="Q18" s="30"/>
      <c r="R18" s="31"/>
      <c r="S18" s="31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="13" customFormat="true" ht="45" hidden="false" customHeight="true" outlineLevel="0" collapsed="false">
      <c r="A19" s="6"/>
      <c r="B19" s="32" t="s">
        <v>49</v>
      </c>
      <c r="C19" s="32" t="s">
        <v>50</v>
      </c>
      <c r="D19" s="33" t="s">
        <v>51</v>
      </c>
      <c r="E19" s="34" t="n">
        <v>46357</v>
      </c>
      <c r="F19" s="34"/>
      <c r="G19" s="35" t="n">
        <v>46374</v>
      </c>
      <c r="H19" s="36" t="n">
        <v>16</v>
      </c>
      <c r="I19" s="37" t="n">
        <v>66000</v>
      </c>
      <c r="J19" s="38" t="n">
        <f aca="false">H19*I19</f>
        <v>1056000</v>
      </c>
      <c r="K19" s="39"/>
      <c r="L19" s="37"/>
      <c r="M19" s="38" t="n">
        <f aca="false">K19*L19</f>
        <v>0</v>
      </c>
      <c r="N19" s="40"/>
      <c r="O19" s="40"/>
      <c r="P19" s="41"/>
      <c r="Q19" s="42" t="n">
        <v>1162000</v>
      </c>
      <c r="R19" s="43" t="n">
        <f aca="false">J19+M19+N19+O19+P19</f>
        <v>1056000</v>
      </c>
      <c r="S19" s="44" t="n">
        <f aca="false">R19-Q19</f>
        <v>-106000</v>
      </c>
      <c r="T19" s="6" t="s">
        <v>30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="13" customFormat="true" ht="45" hidden="false" customHeight="true" outlineLevel="0" collapsed="false">
      <c r="A20" s="6"/>
      <c r="B20" s="32" t="s">
        <v>52</v>
      </c>
      <c r="C20" s="32" t="s">
        <v>53</v>
      </c>
      <c r="D20" s="33" t="s">
        <v>51</v>
      </c>
      <c r="E20" s="34" t="n">
        <v>46399</v>
      </c>
      <c r="F20" s="34"/>
      <c r="G20" s="35" t="n">
        <v>46416</v>
      </c>
      <c r="H20" s="36" t="n">
        <v>14</v>
      </c>
      <c r="I20" s="37" t="n">
        <v>66000</v>
      </c>
      <c r="J20" s="38" t="n">
        <f aca="false">H20*I20</f>
        <v>924000</v>
      </c>
      <c r="K20" s="39"/>
      <c r="L20" s="37"/>
      <c r="M20" s="38" t="n">
        <f aca="false">K20*L20</f>
        <v>0</v>
      </c>
      <c r="N20" s="40"/>
      <c r="O20" s="40"/>
      <c r="P20" s="41"/>
      <c r="Q20" s="42" t="n">
        <v>1016000</v>
      </c>
      <c r="R20" s="43" t="n">
        <f aca="false">J20+M20+N20+O20+P20</f>
        <v>924000</v>
      </c>
      <c r="S20" s="44" t="n">
        <f aca="false">R20-Q20</f>
        <v>-92000</v>
      </c>
      <c r="T20" s="6" t="s">
        <v>30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="13" customFormat="true" ht="45" hidden="false" customHeight="true" outlineLevel="0" collapsed="false">
      <c r="A21" s="6"/>
      <c r="B21" s="32" t="s">
        <v>54</v>
      </c>
      <c r="C21" s="32" t="s">
        <v>55</v>
      </c>
      <c r="D21" s="33" t="s">
        <v>51</v>
      </c>
      <c r="E21" s="34" t="n">
        <v>46419</v>
      </c>
      <c r="F21" s="34"/>
      <c r="G21" s="35" t="n">
        <v>46423</v>
      </c>
      <c r="H21" s="36" t="n">
        <v>6</v>
      </c>
      <c r="I21" s="37" t="n">
        <v>66000</v>
      </c>
      <c r="J21" s="38" t="n">
        <f aca="false">H21*I21</f>
        <v>396000</v>
      </c>
      <c r="K21" s="39"/>
      <c r="L21" s="37"/>
      <c r="M21" s="38" t="n">
        <f aca="false">K21*L21</f>
        <v>0</v>
      </c>
      <c r="N21" s="40"/>
      <c r="O21" s="40"/>
      <c r="P21" s="41"/>
      <c r="Q21" s="42" t="n">
        <v>436000</v>
      </c>
      <c r="R21" s="43" t="n">
        <f aca="false">J21+M21+N21+O21+P21</f>
        <v>396000</v>
      </c>
      <c r="S21" s="44" t="n">
        <f aca="false">R21-Q21</f>
        <v>-40000</v>
      </c>
      <c r="T21" s="6" t="s">
        <v>30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="13" customFormat="true" ht="45" hidden="false" customHeight="true" outlineLevel="0" collapsed="false">
      <c r="A22" s="6"/>
      <c r="B22" s="32" t="s">
        <v>56</v>
      </c>
      <c r="C22" s="32" t="s">
        <v>57</v>
      </c>
      <c r="D22" s="33" t="s">
        <v>51</v>
      </c>
      <c r="E22" s="34" t="n">
        <v>46426</v>
      </c>
      <c r="F22" s="34"/>
      <c r="G22" s="35" t="n">
        <v>46451</v>
      </c>
      <c r="H22" s="36" t="n">
        <v>20</v>
      </c>
      <c r="I22" s="37" t="n">
        <v>66000</v>
      </c>
      <c r="J22" s="38" t="n">
        <f aca="false">H22*I22</f>
        <v>1320000</v>
      </c>
      <c r="K22" s="39"/>
      <c r="L22" s="37"/>
      <c r="M22" s="38" t="n">
        <f aca="false">K22*L22</f>
        <v>0</v>
      </c>
      <c r="N22" s="40"/>
      <c r="O22" s="40"/>
      <c r="P22" s="41"/>
      <c r="Q22" s="42" t="n">
        <v>1452000</v>
      </c>
      <c r="R22" s="43" t="n">
        <f aca="false">J22+M22+N22+O22+P22</f>
        <v>1320000</v>
      </c>
      <c r="S22" s="44" t="n">
        <f aca="false">R22-Q22</f>
        <v>-132000</v>
      </c>
      <c r="T22" s="6" t="s">
        <v>30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="13" customFormat="true" ht="45" hidden="false" customHeight="true" outlineLevel="0" collapsed="false">
      <c r="A23" s="6"/>
      <c r="B23" s="32" t="s">
        <v>58</v>
      </c>
      <c r="C23" s="32" t="s">
        <v>59</v>
      </c>
      <c r="D23" s="33" t="s">
        <v>51</v>
      </c>
      <c r="E23" s="34" t="n">
        <v>46454</v>
      </c>
      <c r="F23" s="34"/>
      <c r="G23" s="35" t="n">
        <v>46493</v>
      </c>
      <c r="H23" s="36" t="n">
        <v>30</v>
      </c>
      <c r="I23" s="37" t="n">
        <v>66000</v>
      </c>
      <c r="J23" s="38" t="n">
        <f aca="false">H23*I23</f>
        <v>1980000</v>
      </c>
      <c r="K23" s="39" t="n">
        <v>12</v>
      </c>
      <c r="L23" s="37" t="n">
        <v>90000</v>
      </c>
      <c r="M23" s="38" t="n">
        <f aca="false">K23*L23</f>
        <v>1080000</v>
      </c>
      <c r="N23" s="40"/>
      <c r="O23" s="40"/>
      <c r="P23" s="41"/>
      <c r="Q23" s="42" t="n">
        <v>3366000</v>
      </c>
      <c r="R23" s="43" t="n">
        <f aca="false">J23+M23+N23+O23+P23</f>
        <v>3060000</v>
      </c>
      <c r="S23" s="44" t="n">
        <f aca="false">R23-Q23</f>
        <v>-306000</v>
      </c>
      <c r="T23" s="6" t="s">
        <v>30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="13" customFormat="true" ht="45" hidden="false" customHeight="true" outlineLevel="0" collapsed="false">
      <c r="A24" s="6"/>
      <c r="B24" s="32" t="s">
        <v>60</v>
      </c>
      <c r="C24" s="32" t="s">
        <v>61</v>
      </c>
      <c r="D24" s="33" t="s">
        <v>51</v>
      </c>
      <c r="E24" s="34" t="n">
        <v>46496</v>
      </c>
      <c r="F24" s="34"/>
      <c r="G24" s="35" t="n">
        <v>46507</v>
      </c>
      <c r="H24" s="36" t="n">
        <v>10</v>
      </c>
      <c r="I24" s="37" t="n">
        <v>66000</v>
      </c>
      <c r="J24" s="38" t="n">
        <f aca="false">H24*I24</f>
        <v>660000</v>
      </c>
      <c r="K24" s="39"/>
      <c r="L24" s="37"/>
      <c r="M24" s="38" t="n">
        <f aca="false">K24*L24</f>
        <v>0</v>
      </c>
      <c r="N24" s="40"/>
      <c r="O24" s="40"/>
      <c r="P24" s="41"/>
      <c r="Q24" s="42" t="n">
        <v>726000</v>
      </c>
      <c r="R24" s="43" t="n">
        <f aca="false">J24+M24+N24+O24+P24</f>
        <v>660000</v>
      </c>
      <c r="S24" s="44" t="n">
        <f aca="false">R24-Q24</f>
        <v>-66000</v>
      </c>
      <c r="T24" s="6" t="s">
        <v>30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="13" customFormat="true" ht="45" hidden="false" customHeight="true" outlineLevel="0" collapsed="false">
      <c r="A25" s="6"/>
      <c r="B25" s="32" t="s">
        <v>62</v>
      </c>
      <c r="C25" s="32" t="s">
        <v>63</v>
      </c>
      <c r="D25" s="33" t="s">
        <v>51</v>
      </c>
      <c r="E25" s="34" t="n">
        <v>46510</v>
      </c>
      <c r="F25" s="34"/>
      <c r="G25" s="35" t="n">
        <v>46521</v>
      </c>
      <c r="H25" s="36" t="n">
        <v>8</v>
      </c>
      <c r="I25" s="37" t="n">
        <v>66000</v>
      </c>
      <c r="J25" s="38" t="n">
        <f aca="false">H25*I25</f>
        <v>528000</v>
      </c>
      <c r="K25" s="39" t="n">
        <v>60</v>
      </c>
      <c r="L25" s="37" t="n">
        <v>30000</v>
      </c>
      <c r="M25" s="38" t="n">
        <f aca="false">K25*L25</f>
        <v>1800000</v>
      </c>
      <c r="N25" s="40"/>
      <c r="O25" s="40"/>
      <c r="P25" s="41"/>
      <c r="Q25" s="42" t="n">
        <v>2561000</v>
      </c>
      <c r="R25" s="43" t="n">
        <f aca="false">J25+M25+N25+O25+P25</f>
        <v>2328000</v>
      </c>
      <c r="S25" s="44" t="n">
        <f aca="false">R25-Q25</f>
        <v>-233000</v>
      </c>
      <c r="T25" s="6"/>
      <c r="U25" s="6" t="s">
        <v>30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="13" customFormat="true" ht="45" hidden="false" customHeight="true" outlineLevel="0" collapsed="false">
      <c r="A26" s="6"/>
      <c r="B26" s="32" t="s">
        <v>64</v>
      </c>
      <c r="C26" s="32" t="s">
        <v>65</v>
      </c>
      <c r="D26" s="33" t="s">
        <v>51</v>
      </c>
      <c r="E26" s="34" t="n">
        <v>46510</v>
      </c>
      <c r="F26" s="34"/>
      <c r="G26" s="35" t="n">
        <v>46528</v>
      </c>
      <c r="H26" s="36" t="n">
        <v>6</v>
      </c>
      <c r="I26" s="37" t="n">
        <v>180000</v>
      </c>
      <c r="J26" s="38" t="n">
        <f aca="false">H26*I26</f>
        <v>1080000</v>
      </c>
      <c r="K26" s="39"/>
      <c r="L26" s="37"/>
      <c r="M26" s="38" t="n">
        <f aca="false">K26*L26</f>
        <v>0</v>
      </c>
      <c r="N26" s="40"/>
      <c r="O26" s="40"/>
      <c r="P26" s="41"/>
      <c r="Q26" s="42" t="n">
        <v>1188000</v>
      </c>
      <c r="R26" s="43" t="n">
        <f aca="false">J26+M26+N26+O26+P26</f>
        <v>1080000</v>
      </c>
      <c r="S26" s="44" t="n">
        <f aca="false">R26-Q26</f>
        <v>-108000</v>
      </c>
      <c r="T26" s="6" t="s">
        <v>30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="13" customFormat="true" ht="45" hidden="false" customHeight="true" outlineLevel="0" collapsed="false">
      <c r="A27" s="6"/>
      <c r="B27" s="32" t="s">
        <v>66</v>
      </c>
      <c r="C27" s="32" t="s">
        <v>67</v>
      </c>
      <c r="D27" s="33" t="s">
        <v>51</v>
      </c>
      <c r="E27" s="34" t="n">
        <v>46531</v>
      </c>
      <c r="F27" s="34"/>
      <c r="G27" s="35" t="n">
        <v>46542</v>
      </c>
      <c r="H27" s="36" t="n">
        <v>6</v>
      </c>
      <c r="I27" s="37" t="n">
        <v>66000</v>
      </c>
      <c r="J27" s="38" t="n">
        <f aca="false">H27*I27</f>
        <v>396000</v>
      </c>
      <c r="K27" s="39" t="n">
        <v>12</v>
      </c>
      <c r="L27" s="37" t="n">
        <v>400000</v>
      </c>
      <c r="M27" s="38" t="n">
        <f aca="false">K27*L27</f>
        <v>4800000</v>
      </c>
      <c r="N27" s="40"/>
      <c r="O27" s="40"/>
      <c r="P27" s="41"/>
      <c r="Q27" s="42" t="n">
        <v>5716000</v>
      </c>
      <c r="R27" s="43" t="n">
        <f aca="false">J27+M27+N27+O27+P27</f>
        <v>5196000</v>
      </c>
      <c r="S27" s="44" t="n">
        <f aca="false">R27-Q27</f>
        <v>-520000</v>
      </c>
      <c r="T27" s="6"/>
      <c r="U27" s="6" t="s">
        <v>30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="13" customFormat="true" ht="30" hidden="false" customHeight="true" outlineLevel="0" collapsed="false">
      <c r="A28" s="6"/>
      <c r="B28" s="45" t="s">
        <v>47</v>
      </c>
      <c r="C28" s="45"/>
      <c r="D28" s="46"/>
      <c r="E28" s="47"/>
      <c r="F28" s="47"/>
      <c r="G28" s="48"/>
      <c r="H28" s="49"/>
      <c r="I28" s="50"/>
      <c r="J28" s="51" t="n">
        <f aca="false">SUM(J19:J27)</f>
        <v>8340000</v>
      </c>
      <c r="K28" s="51"/>
      <c r="L28" s="51"/>
      <c r="M28" s="51" t="n">
        <f aca="false">SUM(M19:M27)</f>
        <v>7680000</v>
      </c>
      <c r="N28" s="51" t="n">
        <f aca="false">SUM(N19:N27)</f>
        <v>0</v>
      </c>
      <c r="O28" s="51" t="n">
        <f aca="false">SUM(O19:O27)</f>
        <v>0</v>
      </c>
      <c r="P28" s="52" t="n">
        <f aca="false">SUM(P19:P27)</f>
        <v>0</v>
      </c>
      <c r="Q28" s="53" t="n">
        <f aca="false">SUM(Q19:Q27)</f>
        <v>17623000</v>
      </c>
      <c r="R28" s="54" t="n">
        <f aca="false">SUM(J28:P28)</f>
        <v>16020000</v>
      </c>
      <c r="S28" s="54" t="n">
        <f aca="false">R28-Q28</f>
        <v>-1603000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="2" customFormat="true" ht="21" hidden="false" customHeight="true" outlineLevel="0" collapsed="false">
      <c r="B29" s="60"/>
      <c r="C29" s="60"/>
      <c r="D29" s="60"/>
      <c r="E29" s="60"/>
      <c r="F29" s="60"/>
      <c r="G29" s="60"/>
      <c r="H29" s="61"/>
      <c r="I29" s="62"/>
      <c r="J29" s="62"/>
      <c r="K29" s="61"/>
      <c r="L29" s="62"/>
      <c r="M29" s="62"/>
      <c r="N29" s="61"/>
      <c r="O29" s="61"/>
      <c r="P29" s="62"/>
      <c r="Q29" s="63"/>
      <c r="R29" s="62"/>
      <c r="S29" s="64"/>
    </row>
    <row r="30" customFormat="false" ht="13.5" hidden="false" customHeight="false" outlineLevel="0" collapsed="false">
      <c r="A30" s="2"/>
      <c r="B30" s="65" t="s">
        <v>68</v>
      </c>
      <c r="C30" s="45"/>
      <c r="D30" s="46"/>
      <c r="E30" s="47"/>
      <c r="F30" s="47"/>
      <c r="G30" s="48"/>
      <c r="H30" s="49"/>
      <c r="I30" s="50"/>
      <c r="J30" s="51" t="n">
        <f aca="false">J14+J28</f>
        <v>19197000</v>
      </c>
      <c r="K30" s="51"/>
      <c r="L30" s="51"/>
      <c r="M30" s="51" t="n">
        <f aca="false">M14+M28</f>
        <v>7680000</v>
      </c>
      <c r="N30" s="51" t="n">
        <f aca="false">N14+N28</f>
        <v>0</v>
      </c>
      <c r="O30" s="51" t="n">
        <f aca="false">O14+O28</f>
        <v>0</v>
      </c>
      <c r="P30" s="52" t="n">
        <f aca="false">P14+P28</f>
        <v>0</v>
      </c>
      <c r="Q30" s="53" t="n">
        <f aca="false">Q14+Q28</f>
        <v>29565000</v>
      </c>
      <c r="R30" s="54" t="n">
        <f aca="false">R14+R28</f>
        <v>26877000</v>
      </c>
      <c r="S30" s="54" t="n">
        <f aca="false">R30-Q30</f>
        <v>-2688000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customFormat="false" ht="13.5" hidden="false" customHeight="false" outlineLevel="0" collapsed="false">
      <c r="A32" s="2"/>
      <c r="B32" s="66" t="s">
        <v>69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customFormat="false" ht="49.25" hidden="false" customHeight="false" outlineLevel="0" collapsed="false">
      <c r="A33" s="2"/>
      <c r="B33" s="67" t="s">
        <v>70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customFormat="false" ht="61.15" hidden="false" customHeight="false" outlineLevel="0" collapsed="false">
      <c r="A34" s="2"/>
      <c r="B34" s="67" t="s">
        <v>71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customFormat="false" ht="61.15" hidden="false" customHeight="false" outlineLevel="0" collapsed="false">
      <c r="A35" s="2"/>
      <c r="B35" s="67" t="s">
        <v>72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customFormat="false" ht="61.15" hidden="false" customHeight="false" outlineLevel="0" collapsed="false">
      <c r="A36" s="2"/>
      <c r="B36" s="67" t="s">
        <v>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customFormat="false" ht="25.35" hidden="false" customHeight="false" outlineLevel="0" collapsed="false">
      <c r="A37" s="2"/>
      <c r="B37" s="67" t="s">
        <v>74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customFormat="false" ht="61.15" hidden="false" customHeight="false" outlineLevel="0" collapsed="false">
      <c r="A38" s="2"/>
      <c r="B38" s="67" t="s">
        <v>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customFormat="false" ht="49.25" hidden="false" customHeight="false" outlineLevel="0" collapsed="false">
      <c r="A39" s="2"/>
      <c r="B39" s="67" t="s">
        <v>76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customFormat="false" ht="13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customFormat="false" ht="13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customFormat="false" ht="13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customFormat="false" ht="13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customFormat="false" ht="13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customFormat="false" ht="13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customFormat="false" ht="13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customFormat="false" ht="13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customFormat="false" ht="13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customFormat="false" ht="13.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customFormat="false" ht="13.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customFormat="false" ht="13.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customFormat="false" ht="13.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customFormat="false" ht="13.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customFormat="false" ht="13.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customFormat="false" ht="13.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customFormat="false" ht="13.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customFormat="false" ht="13.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customFormat="false" ht="13.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customFormat="false" ht="13.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customFormat="false" ht="13.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customFormat="false" ht="13.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customFormat="false" ht="13.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customFormat="false" ht="13.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customFormat="false" ht="13.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customFormat="false" ht="13.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customFormat="false" ht="13.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customFormat="false" ht="13.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customFormat="false" ht="13.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customFormat="false" ht="13.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customFormat="false" ht="13.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customFormat="false" ht="13.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customFormat="false" ht="13.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customFormat="false" ht="13.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customFormat="false" ht="13.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customFormat="false" ht="13.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3.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3.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3.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3.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3.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3.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3.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3.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3.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3.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3.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3.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3.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3.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3.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3.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3.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3.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3.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3.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3.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3.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3.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3.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3.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3.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3.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3.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3.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3.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3.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3.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3.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3.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3.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3.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3.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3.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3.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3.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3.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3.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3.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3.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3.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3.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3.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3.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3.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3.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3.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3.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3.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3.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3.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3.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3.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3.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3.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3.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3.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3.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3.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3.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3.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3.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3.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3.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3.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3.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3.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3.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3.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3.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3.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3.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3.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3.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3.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3.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3.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3.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3.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3.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3.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3.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3.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3.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3.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3.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3.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3.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3.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3.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3.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3.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3.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3.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3.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3.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3.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3.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3.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3.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3.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3.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3.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3.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3.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3.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3.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3.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3.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3.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3.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3.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3.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3.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3.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3.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3.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3.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3.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3.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3.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3.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3.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3.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3.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3.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3.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3.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3.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3.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3.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3.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3.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3.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3.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3.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3.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3.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3.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3.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3.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3.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3.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3.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3.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3.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3.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3.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3.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3.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3.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3.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3.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3.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3.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3.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3.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3.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3.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3.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3.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3.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3.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3.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3.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3.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3.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3.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3.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3.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3.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3.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3.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3.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3.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3.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3.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3.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3.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3.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3.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3.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3.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3.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3.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3.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3.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3.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3.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3.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3.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3.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3.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3.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3.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3.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3.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3.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3.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3.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3.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3.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3.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3.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3.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3.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3.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3.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3.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3.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3.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3.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3.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3.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3.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3.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3.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3.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3.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3.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3.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3.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3.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3.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3.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3.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3.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3.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3.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3.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3.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3.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3.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3.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3.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3.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3.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3.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3.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3.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3.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3.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3.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3.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3.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3.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3.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3.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3.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3.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3.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3.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3.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3.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3.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3.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3.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3.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3.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3.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3.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3.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3.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3.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3.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3.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3.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3.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3.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3.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3.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3.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3.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3.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3.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3.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3.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3.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3.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3.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3.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3.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3.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3.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3.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3.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3.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3.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3.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3.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3.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3.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3.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3.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3.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3.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3.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3.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3.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3.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3.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3.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3.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3.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3.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3.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3.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3.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3.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3.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3.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3.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3.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3.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3.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3.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3.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3.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3.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3.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3.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3.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3.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3.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3.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3.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3.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3.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3.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3.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3.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3.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3.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3.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3.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3.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3.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3.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</sheetData>
  <mergeCells count="8">
    <mergeCell ref="H2:J2"/>
    <mergeCell ref="K2:M2"/>
    <mergeCell ref="N2:P2"/>
    <mergeCell ref="Q2:S2"/>
    <mergeCell ref="H16:J16"/>
    <mergeCell ref="K16:M16"/>
    <mergeCell ref="N16:P16"/>
    <mergeCell ref="Q16:S16"/>
  </mergeCells>
  <conditionalFormatting sqref="D19:D27">
    <cfRule type="cellIs" priority="2" operator="equal" aboveAverage="0" equalAverage="0" bottom="0" percent="0" rank="0" text="" dxfId="0">
      <formula>"No Iniciado"</formula>
    </cfRule>
    <cfRule type="cellIs" priority="3" operator="equal" aboveAverage="0" equalAverage="0" bottom="0" percent="0" rank="0" text="" dxfId="1">
      <formula>"Aprobado"</formula>
    </cfRule>
    <cfRule type="cellIs" priority="4" operator="equal" aboveAverage="0" equalAverage="0" bottom="0" percent="0" rank="0" text="" dxfId="2">
      <formula>"En Espera"</formula>
    </cfRule>
    <cfRule type="cellIs" priority="5" operator="equal" aboveAverage="0" equalAverage="0" bottom="0" percent="0" rank="0" text="" dxfId="3">
      <formula>"Atrasado"</formula>
    </cfRule>
    <cfRule type="cellIs" priority="6" operator="equal" aboveAverage="0" equalAverage="0" bottom="0" percent="0" rank="0" text="" dxfId="4">
      <formula>"Aprovado"</formula>
    </cfRule>
    <cfRule type="cellIs" priority="7" operator="equal" aboveAverage="0" equalAverage="0" bottom="0" percent="0" rank="0" text="" dxfId="5">
      <formula>"Requiere Revisión"</formula>
    </cfRule>
    <cfRule type="cellIs" priority="8" operator="equal" aboveAverage="0" equalAverage="0" bottom="0" percent="0" rank="0" text="" dxfId="6">
      <formula>"En Progreso"</formula>
    </cfRule>
    <cfRule type="cellIs" priority="9" operator="equal" aboveAverage="0" equalAverage="0" bottom="0" percent="0" rank="0" text="" dxfId="7">
      <formula>"Completo"</formula>
    </cfRule>
  </conditionalFormatting>
  <conditionalFormatting sqref="D18:D27">
    <cfRule type="containsText" priority="10" operator="containsText" aboveAverage="0" equalAverage="0" bottom="0" percent="0" rank="0" text="Approved" dxfId="1">
      <formula>NOT(ISERROR(SEARCH("Approved",D18)))</formula>
    </cfRule>
    <cfRule type="containsText" priority="11" operator="containsText" aboveAverage="0" equalAverage="0" bottom="0" percent="0" rank="0" text="Needs Review" dxfId="5">
      <formula>NOT(ISERROR(SEARCH("Needs Review",D18)))</formula>
    </cfRule>
    <cfRule type="containsText" priority="12" operator="containsText" aboveAverage="0" equalAverage="0" bottom="0" percent="0" rank="0" text="Not Started" dxfId="8">
      <formula>NOT(ISERROR(SEARCH("Not Started",D18)))</formula>
    </cfRule>
    <cfRule type="containsText" priority="13" operator="containsText" aboveAverage="0" equalAverage="0" bottom="0" percent="0" rank="0" text="On Hold" dxfId="9">
      <formula>NOT(ISERROR(SEARCH("On Hold",D18)))</formula>
    </cfRule>
    <cfRule type="containsText" priority="14" operator="containsText" aboveAverage="0" equalAverage="0" bottom="0" percent="0" rank="0" text="Overdue" dxfId="10">
      <formula>NOT(ISERROR(SEARCH("Overdue",D18)))</formula>
    </cfRule>
    <cfRule type="containsText" priority="15" operator="containsText" aboveAverage="0" equalAverage="0" bottom="0" percent="0" rank="0" text="Complete" dxfId="11">
      <formula>NOT(ISERROR(SEARCH("Complete",D18)))</formula>
    </cfRule>
    <cfRule type="containsText" priority="16" operator="containsText" aboveAverage="0" equalAverage="0" bottom="0" percent="0" rank="0" text="In Progress" dxfId="12">
      <formula>NOT(ISERROR(SEARCH("In Progress",D18)))</formula>
    </cfRule>
  </conditionalFormatting>
  <conditionalFormatting sqref="D5:D13">
    <cfRule type="cellIs" priority="17" operator="equal" aboveAverage="0" equalAverage="0" bottom="0" percent="0" rank="0" text="" dxfId="0">
      <formula>"No Iniciado"</formula>
    </cfRule>
    <cfRule type="cellIs" priority="18" operator="equal" aboveAverage="0" equalAverage="0" bottom="0" percent="0" rank="0" text="" dxfId="1">
      <formula>"Aprobado"</formula>
    </cfRule>
    <cfRule type="cellIs" priority="19" operator="equal" aboveAverage="0" equalAverage="0" bottom="0" percent="0" rank="0" text="" dxfId="2">
      <formula>"En Espera"</formula>
    </cfRule>
    <cfRule type="cellIs" priority="20" operator="equal" aboveAverage="0" equalAverage="0" bottom="0" percent="0" rank="0" text="" dxfId="3">
      <formula>"Atrasado"</formula>
    </cfRule>
    <cfRule type="cellIs" priority="21" operator="equal" aboveAverage="0" equalAverage="0" bottom="0" percent="0" rank="0" text="" dxfId="4">
      <formula>"Aprovado"</formula>
    </cfRule>
    <cfRule type="cellIs" priority="22" operator="equal" aboveAverage="0" equalAverage="0" bottom="0" percent="0" rank="0" text="" dxfId="5">
      <formula>"Requiere Revisión"</formula>
    </cfRule>
    <cfRule type="cellIs" priority="23" operator="equal" aboveAverage="0" equalAverage="0" bottom="0" percent="0" rank="0" text="" dxfId="6">
      <formula>"En Progreso"</formula>
    </cfRule>
    <cfRule type="cellIs" priority="24" operator="equal" aboveAverage="0" equalAverage="0" bottom="0" percent="0" rank="0" text="" dxfId="7">
      <formula>"Completo"</formula>
    </cfRule>
  </conditionalFormatting>
  <conditionalFormatting sqref="D4:D13">
    <cfRule type="containsText" priority="25" operator="containsText" aboveAverage="0" equalAverage="0" bottom="0" percent="0" rank="0" text="Approved" dxfId="1">
      <formula>NOT(ISERROR(SEARCH("Approved",D4)))</formula>
    </cfRule>
    <cfRule type="containsText" priority="26" operator="containsText" aboveAverage="0" equalAverage="0" bottom="0" percent="0" rank="0" text="Needs Review" dxfId="5">
      <formula>NOT(ISERROR(SEARCH("Needs Review",D4)))</formula>
    </cfRule>
    <cfRule type="containsText" priority="27" operator="containsText" aboveAverage="0" equalAverage="0" bottom="0" percent="0" rank="0" text="Not Started" dxfId="8">
      <formula>NOT(ISERROR(SEARCH("Not Started",D4)))</formula>
    </cfRule>
    <cfRule type="containsText" priority="28" operator="containsText" aboveAverage="0" equalAverage="0" bottom="0" percent="0" rank="0" text="On Hold" dxfId="9">
      <formula>NOT(ISERROR(SEARCH("On Hold",D4)))</formula>
    </cfRule>
    <cfRule type="containsText" priority="29" operator="containsText" aboveAverage="0" equalAverage="0" bottom="0" percent="0" rank="0" text="Overdue" dxfId="10">
      <formula>NOT(ISERROR(SEARCH("Overdue",D4)))</formula>
    </cfRule>
    <cfRule type="containsText" priority="30" operator="containsText" aboveAverage="0" equalAverage="0" bottom="0" percent="0" rank="0" text="Complete" dxfId="11">
      <formula>NOT(ISERROR(SEARCH("Complete",D4)))</formula>
    </cfRule>
    <cfRule type="containsText" priority="31" operator="containsText" aboveAverage="0" equalAverage="0" bottom="0" percent="0" rank="0" text="In Progress" dxfId="12">
      <formula>NOT(ISERROR(SEARCH("In Progress",D4)))</formula>
    </cfRule>
  </conditionalFormatting>
  <conditionalFormatting sqref="S5:S14 S19:S28">
    <cfRule type="cellIs" priority="32" operator="lessThan" aboveAverage="0" equalAverage="0" bottom="0" percent="0" rank="0" text="" dxfId="13">
      <formula>0</formula>
    </cfRule>
    <cfRule type="cellIs" priority="33" operator="greaterThan" aboveAverage="0" equalAverage="0" bottom="0" percent="0" rank="0" text="" dxfId="14">
      <formula>0</formula>
    </cfRule>
  </conditionalFormatting>
  <conditionalFormatting sqref="S29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1">
    <dataValidation allowBlank="true" errorStyle="stop" operator="between" showDropDown="false" showErrorMessage="false" showInputMessage="false" sqref="D5:D13 D19:D27" type="list">
      <formula1>'listas desplegables'!$F$3:$F$9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A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13" width="3.37"/>
    <col collapsed="false" customWidth="true" hidden="false" outlineLevel="0" max="2" min="2" style="13" width="10.87"/>
    <col collapsed="false" customWidth="true" hidden="false" outlineLevel="0" max="3" min="3" style="13" width="3.37"/>
    <col collapsed="false" customWidth="true" hidden="false" outlineLevel="0" max="5" min="5" style="13" width="3.37"/>
    <col collapsed="false" customWidth="true" hidden="false" outlineLevel="0" max="6" min="6" style="0" width="12.88"/>
    <col collapsed="false" customWidth="true" hidden="false" outlineLevel="0" max="7" min="7" style="13" width="3.37"/>
  </cols>
  <sheetData>
    <row r="1" s="13" customFormat="true" ht="42" hidden="false" customHeight="true" outlineLevel="0" collapsed="false">
      <c r="B1" s="68" t="s">
        <v>77</v>
      </c>
      <c r="C1" s="5"/>
      <c r="D1" s="5"/>
      <c r="E1" s="5"/>
      <c r="F1" s="5"/>
      <c r="G1" s="5"/>
      <c r="H1" s="5"/>
      <c r="I1" s="5"/>
      <c r="J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customFormat="false" ht="24.75" hidden="false" customHeight="true" outlineLevel="0" collapsed="false">
      <c r="A2" s="6"/>
      <c r="B2" s="69" t="s">
        <v>78</v>
      </c>
      <c r="C2" s="6"/>
      <c r="D2" s="69" t="s">
        <v>79</v>
      </c>
      <c r="E2" s="6"/>
      <c r="F2" s="69" t="s">
        <v>8</v>
      </c>
      <c r="G2" s="6"/>
    </row>
    <row r="3" customFormat="false" ht="34.5" hidden="false" customHeight="true" outlineLevel="0" collapsed="false">
      <c r="A3" s="6"/>
      <c r="B3" s="70" t="s">
        <v>80</v>
      </c>
      <c r="C3" s="6"/>
      <c r="D3" s="71" t="s">
        <v>81</v>
      </c>
      <c r="E3" s="6"/>
      <c r="F3" s="72" t="s">
        <v>51</v>
      </c>
      <c r="G3" s="6"/>
    </row>
    <row r="4" customFormat="false" ht="34.5" hidden="false" customHeight="true" outlineLevel="0" collapsed="false">
      <c r="A4" s="6"/>
      <c r="B4" s="73" t="s">
        <v>82</v>
      </c>
      <c r="C4" s="6"/>
      <c r="D4" s="74" t="s">
        <v>83</v>
      </c>
      <c r="E4" s="6"/>
      <c r="F4" s="75" t="s">
        <v>84</v>
      </c>
      <c r="G4" s="6"/>
    </row>
    <row r="5" customFormat="false" ht="34.5" hidden="false" customHeight="true" outlineLevel="0" collapsed="false">
      <c r="A5" s="6"/>
      <c r="C5" s="6"/>
      <c r="D5" s="76" t="s">
        <v>85</v>
      </c>
      <c r="E5" s="6"/>
      <c r="F5" s="77" t="s">
        <v>29</v>
      </c>
      <c r="G5" s="6"/>
    </row>
    <row r="6" customFormat="false" ht="34.5" hidden="false" customHeight="true" outlineLevel="0" collapsed="false">
      <c r="A6" s="6"/>
      <c r="C6" s="6"/>
      <c r="D6" s="78"/>
      <c r="E6" s="6"/>
      <c r="F6" s="79" t="s">
        <v>86</v>
      </c>
      <c r="G6" s="6"/>
    </row>
    <row r="7" customFormat="false" ht="34.5" hidden="false" customHeight="true" outlineLevel="0" collapsed="false">
      <c r="A7" s="6"/>
      <c r="C7" s="6"/>
      <c r="D7" s="78"/>
      <c r="E7" s="6"/>
      <c r="F7" s="80" t="s">
        <v>87</v>
      </c>
      <c r="G7" s="6"/>
    </row>
    <row r="8" customFormat="false" ht="34.5" hidden="false" customHeight="true" outlineLevel="0" collapsed="false">
      <c r="A8" s="6"/>
      <c r="C8" s="6"/>
      <c r="E8" s="6"/>
      <c r="F8" s="81" t="s">
        <v>88</v>
      </c>
      <c r="G8" s="6"/>
    </row>
    <row r="9" customFormat="false" ht="34.5" hidden="false" customHeight="true" outlineLevel="0" collapsed="false">
      <c r="A9" s="6"/>
      <c r="B9" s="6"/>
      <c r="C9" s="6"/>
      <c r="E9" s="6"/>
      <c r="F9" s="82" t="s">
        <v>89</v>
      </c>
      <c r="G9" s="6"/>
    </row>
    <row r="10" customFormat="false" ht="34.5" hidden="false" customHeight="true" outlineLevel="0" collapsed="false">
      <c r="A10" s="6"/>
      <c r="B10" s="6"/>
      <c r="C10" s="6"/>
      <c r="D10" s="78"/>
      <c r="E10" s="6"/>
      <c r="F10" s="83"/>
      <c r="G10" s="6"/>
    </row>
    <row r="11" customFormat="false" ht="34.5" hidden="false" customHeight="true" outlineLevel="0" collapsed="false">
      <c r="A11" s="6"/>
      <c r="B11" s="6"/>
      <c r="C11" s="6"/>
      <c r="D11" s="78"/>
      <c r="E11" s="6"/>
      <c r="F11" s="83"/>
      <c r="G11" s="6"/>
    </row>
    <row r="12" customFormat="false" ht="16.5" hidden="false" customHeight="true" outlineLevel="0" collapsed="false">
      <c r="A12" s="6"/>
      <c r="B12" s="6"/>
      <c r="C12" s="6"/>
      <c r="D12" s="78"/>
      <c r="E12" s="6"/>
      <c r="F12" s="78"/>
      <c r="G12" s="6"/>
    </row>
    <row r="13" customFormat="false" ht="16.5" hidden="false" customHeight="true" outlineLevel="0" collapsed="false">
      <c r="A13" s="6"/>
      <c r="B13" s="6"/>
      <c r="C13" s="6"/>
      <c r="D13" s="78"/>
      <c r="E13" s="6"/>
      <c r="F13" s="78"/>
      <c r="G13" s="6"/>
    </row>
    <row r="14" customFormat="false" ht="16.5" hidden="false" customHeight="true" outlineLevel="0" collapsed="false">
      <c r="A14" s="6"/>
      <c r="B14" s="6"/>
      <c r="C14" s="6"/>
      <c r="D14" s="78"/>
      <c r="E14" s="6"/>
      <c r="F14" s="78"/>
      <c r="G14" s="6"/>
    </row>
    <row r="15" customFormat="false" ht="16.5" hidden="false" customHeight="true" outlineLevel="0" collapsed="false">
      <c r="A15" s="6"/>
      <c r="B15" s="6"/>
      <c r="C15" s="6"/>
      <c r="D15" s="78"/>
      <c r="E15" s="6"/>
      <c r="F15" s="78"/>
      <c r="G15" s="6"/>
    </row>
    <row r="16" customFormat="false" ht="16.5" hidden="false" customHeight="true" outlineLevel="0" collapsed="false">
      <c r="A16" s="6"/>
      <c r="B16" s="6"/>
      <c r="C16" s="6"/>
      <c r="D16" s="78"/>
      <c r="E16" s="6"/>
      <c r="F16" s="78"/>
      <c r="G16" s="6"/>
    </row>
    <row r="17" customFormat="false" ht="16.5" hidden="false" customHeight="true" outlineLevel="0" collapsed="false">
      <c r="A17" s="6"/>
      <c r="B17" s="6"/>
      <c r="C17" s="6"/>
      <c r="D17" s="78"/>
      <c r="E17" s="6"/>
      <c r="G17" s="6"/>
    </row>
    <row r="18" customFormat="false" ht="16.5" hidden="false" customHeight="true" outlineLevel="0" collapsed="false">
      <c r="A18" s="6"/>
      <c r="B18" s="6"/>
      <c r="C18" s="6"/>
      <c r="D18" s="78"/>
      <c r="E18" s="6"/>
      <c r="G18" s="6"/>
    </row>
    <row r="19" customFormat="false" ht="16.5" hidden="false" customHeight="true" outlineLevel="0" collapsed="false">
      <c r="A19" s="6"/>
      <c r="B19" s="6"/>
      <c r="C19" s="6"/>
      <c r="D19" s="78"/>
      <c r="E19" s="6"/>
      <c r="G19" s="6"/>
    </row>
    <row r="20" customFormat="false" ht="16.5" hidden="false" customHeight="true" outlineLevel="0" collapsed="false">
      <c r="A20" s="6"/>
      <c r="B20" s="6"/>
      <c r="C20" s="6"/>
      <c r="D20" s="78"/>
      <c r="E20" s="6"/>
      <c r="G20" s="6"/>
    </row>
    <row r="21" customFormat="false" ht="16.5" hidden="false" customHeight="true" outlineLevel="0" collapsed="false">
      <c r="A21" s="6"/>
      <c r="B21" s="6"/>
      <c r="C21" s="6"/>
      <c r="D21" s="78"/>
      <c r="E21" s="6"/>
      <c r="G21" s="6"/>
    </row>
    <row r="22" customFormat="false" ht="16.5" hidden="false" customHeight="true" outlineLevel="0" collapsed="false">
      <c r="A22" s="6"/>
      <c r="B22" s="6"/>
      <c r="C22" s="6"/>
      <c r="D22" s="78"/>
      <c r="E22" s="6"/>
      <c r="G22" s="6"/>
    </row>
    <row r="23" customFormat="false" ht="16.5" hidden="false" customHeight="true" outlineLevel="0" collapsed="false">
      <c r="A23" s="6"/>
      <c r="B23" s="6"/>
      <c r="C23" s="6"/>
      <c r="D23" s="78"/>
      <c r="E23" s="6"/>
      <c r="G23" s="6"/>
    </row>
    <row r="24" customFormat="false" ht="16.5" hidden="false" customHeight="true" outlineLevel="0" collapsed="false">
      <c r="A24" s="6"/>
      <c r="B24" s="6"/>
      <c r="C24" s="6"/>
      <c r="D24" s="78"/>
      <c r="E24" s="6"/>
      <c r="G24" s="6"/>
    </row>
    <row r="25" customFormat="false" ht="16.5" hidden="false" customHeight="true" outlineLevel="0" collapsed="false">
      <c r="A25" s="6"/>
      <c r="B25" s="6"/>
      <c r="C25" s="6"/>
      <c r="D25" s="78"/>
      <c r="E25" s="6"/>
      <c r="G25" s="6"/>
    </row>
    <row r="26" customFormat="false" ht="16.5" hidden="false" customHeight="true" outlineLevel="0" collapsed="false">
      <c r="A26" s="6"/>
      <c r="B26" s="6"/>
      <c r="C26" s="6"/>
      <c r="D26" s="78"/>
      <c r="E26" s="6"/>
      <c r="G26" s="6"/>
    </row>
    <row r="27" customFormat="false" ht="16.5" hidden="false" customHeight="true" outlineLevel="0" collapsed="false">
      <c r="A27" s="6"/>
      <c r="B27" s="6"/>
      <c r="C27" s="6"/>
      <c r="D27" s="78"/>
      <c r="E27" s="6"/>
      <c r="G27" s="6"/>
    </row>
    <row r="28" customFormat="false" ht="16.5" hidden="false" customHeight="true" outlineLevel="0" collapsed="false">
      <c r="A28" s="6"/>
      <c r="B28" s="6"/>
      <c r="C28" s="6"/>
      <c r="D28" s="78"/>
      <c r="E28" s="6"/>
      <c r="G28" s="6"/>
    </row>
    <row r="29" customFormat="false" ht="16.5" hidden="false" customHeight="true" outlineLevel="0" collapsed="false">
      <c r="A29" s="6"/>
      <c r="B29" s="6"/>
      <c r="C29" s="6"/>
      <c r="D29" s="78"/>
      <c r="E29" s="6"/>
      <c r="G29" s="6"/>
    </row>
    <row r="30" customFormat="false" ht="16.5" hidden="false" customHeight="true" outlineLevel="0" collapsed="false">
      <c r="A30" s="6"/>
      <c r="B30" s="6"/>
      <c r="C30" s="6"/>
      <c r="D30" s="78"/>
      <c r="E30" s="6"/>
      <c r="G30" s="6"/>
    </row>
    <row r="31" customFormat="false" ht="16.5" hidden="false" customHeight="true" outlineLevel="0" collapsed="false">
      <c r="A31" s="6"/>
      <c r="B31" s="6"/>
      <c r="C31" s="6"/>
      <c r="D31" s="78"/>
      <c r="E31" s="6"/>
      <c r="G31" s="6"/>
    </row>
    <row r="32" customFormat="false" ht="16.5" hidden="false" customHeight="true" outlineLevel="0" collapsed="false">
      <c r="D32" s="78"/>
    </row>
    <row r="33" customFormat="false" ht="15.75" hidden="false" customHeight="false" outlineLevel="0" collapsed="false">
      <c r="A33" s="6"/>
      <c r="B33" s="6"/>
      <c r="C33" s="6"/>
      <c r="E33" s="6"/>
      <c r="G33" s="6"/>
    </row>
    <row r="34" customFormat="false" ht="15.75" hidden="false" customHeight="false" outlineLevel="0" collapsed="false">
      <c r="A34" s="6"/>
      <c r="B34" s="6"/>
      <c r="C34" s="6"/>
      <c r="E34" s="6"/>
      <c r="G34" s="6"/>
    </row>
    <row r="35" customFormat="false" ht="15.75" hidden="false" customHeight="false" outlineLevel="0" collapsed="false">
      <c r="A35" s="6"/>
      <c r="B35" s="6"/>
      <c r="C35" s="6"/>
      <c r="E35" s="6"/>
      <c r="G35" s="6"/>
    </row>
    <row r="36" customFormat="false" ht="15.75" hidden="false" customHeight="false" outlineLevel="0" collapsed="false">
      <c r="A36" s="6"/>
      <c r="B36" s="6"/>
      <c r="C36" s="6"/>
      <c r="E36" s="6"/>
      <c r="G36" s="6"/>
    </row>
    <row r="37" customFormat="false" ht="15.75" hidden="false" customHeight="false" outlineLevel="0" collapsed="false">
      <c r="A37" s="6"/>
      <c r="B37" s="6"/>
      <c r="C37" s="6"/>
      <c r="E37" s="6"/>
      <c r="G37" s="6"/>
    </row>
    <row r="38" customFormat="false" ht="15.75" hidden="false" customHeight="false" outlineLevel="0" collapsed="false">
      <c r="A38" s="6"/>
      <c r="B38" s="6"/>
      <c r="C38" s="6"/>
      <c r="E38" s="6"/>
      <c r="G38" s="6"/>
    </row>
    <row r="39" customFormat="false" ht="15.75" hidden="false" customHeight="false" outlineLevel="0" collapsed="false">
      <c r="A39" s="6"/>
      <c r="B39" s="6"/>
      <c r="C39" s="6"/>
      <c r="E39" s="6"/>
      <c r="G39" s="6"/>
    </row>
    <row r="40" customFormat="false" ht="15.75" hidden="false" customHeight="false" outlineLevel="0" collapsed="false">
      <c r="A40" s="6"/>
      <c r="B40" s="6"/>
      <c r="C40" s="6"/>
      <c r="E40" s="6"/>
      <c r="G40" s="6"/>
    </row>
    <row r="41" customFormat="false" ht="15.75" hidden="false" customHeight="false" outlineLevel="0" collapsed="false">
      <c r="A41" s="6"/>
      <c r="B41" s="6"/>
      <c r="C41" s="6"/>
      <c r="E41" s="6"/>
      <c r="G41" s="6"/>
    </row>
    <row r="42" customFormat="false" ht="15.75" hidden="false" customHeight="false" outlineLevel="0" collapsed="false">
      <c r="A42" s="6"/>
      <c r="B42" s="6"/>
      <c r="C42" s="6"/>
      <c r="E42" s="6"/>
      <c r="G42" s="6"/>
    </row>
    <row r="43" customFormat="false" ht="15.75" hidden="false" customHeight="false" outlineLevel="0" collapsed="false">
      <c r="A43" s="6"/>
      <c r="B43" s="6"/>
      <c r="C43" s="6"/>
      <c r="E43" s="6"/>
      <c r="G43" s="6"/>
    </row>
    <row r="44" customFormat="false" ht="15.75" hidden="false" customHeight="false" outlineLevel="0" collapsed="false">
      <c r="A44" s="6"/>
      <c r="B44" s="6"/>
      <c r="C44" s="6"/>
      <c r="E44" s="6"/>
      <c r="G44" s="6"/>
    </row>
    <row r="45" customFormat="false" ht="15.75" hidden="false" customHeight="false" outlineLevel="0" collapsed="false">
      <c r="A45" s="6"/>
      <c r="B45" s="6"/>
      <c r="C45" s="6"/>
      <c r="E45" s="6"/>
      <c r="G45" s="6"/>
    </row>
    <row r="46" customFormat="false" ht="15.75" hidden="false" customHeight="false" outlineLevel="0" collapsed="false">
      <c r="A46" s="6"/>
      <c r="B46" s="6"/>
      <c r="C46" s="6"/>
      <c r="E46" s="6"/>
      <c r="G46" s="6"/>
    </row>
    <row r="47" customFormat="false" ht="15.75" hidden="false" customHeight="false" outlineLevel="0" collapsed="false">
      <c r="A47" s="6"/>
      <c r="B47" s="6"/>
      <c r="C47" s="6"/>
      <c r="E47" s="6"/>
      <c r="G47" s="6"/>
    </row>
    <row r="48" customFormat="false" ht="15.75" hidden="false" customHeight="false" outlineLevel="0" collapsed="false">
      <c r="A48" s="6"/>
      <c r="B48" s="6"/>
      <c r="C48" s="6"/>
      <c r="E48" s="6"/>
      <c r="G48" s="6"/>
    </row>
    <row r="49" customFormat="false" ht="15.75" hidden="false" customHeight="false" outlineLevel="0" collapsed="false">
      <c r="A49" s="6"/>
      <c r="B49" s="6"/>
      <c r="C49" s="6"/>
      <c r="E49" s="6"/>
      <c r="G49" s="6"/>
    </row>
    <row r="50" customFormat="false" ht="15.75" hidden="false" customHeight="false" outlineLevel="0" collapsed="false">
      <c r="A50" s="6"/>
      <c r="B50" s="6"/>
      <c r="C50" s="6"/>
      <c r="E50" s="6"/>
      <c r="G50" s="6"/>
    </row>
    <row r="51" customFormat="false" ht="15.75" hidden="false" customHeight="false" outlineLevel="0" collapsed="false">
      <c r="A51" s="6"/>
      <c r="B51" s="6"/>
      <c r="C51" s="6"/>
      <c r="E51" s="6"/>
      <c r="G51" s="6"/>
    </row>
    <row r="52" customFormat="false" ht="15.75" hidden="false" customHeight="false" outlineLevel="0" collapsed="false">
      <c r="A52" s="6"/>
      <c r="B52" s="6"/>
      <c r="C52" s="6"/>
      <c r="E52" s="6"/>
      <c r="G52" s="6"/>
    </row>
    <row r="53" customFormat="false" ht="15.75" hidden="false" customHeight="false" outlineLevel="0" collapsed="false">
      <c r="A53" s="6"/>
      <c r="B53" s="6"/>
      <c r="C53" s="6"/>
      <c r="E53" s="6"/>
      <c r="G53" s="6"/>
    </row>
    <row r="54" customFormat="false" ht="15.75" hidden="false" customHeight="false" outlineLevel="0" collapsed="false">
      <c r="A54" s="6"/>
      <c r="B54" s="6"/>
      <c r="C54" s="6"/>
      <c r="E54" s="6"/>
      <c r="G54" s="6"/>
    </row>
    <row r="55" customFormat="false" ht="15.75" hidden="false" customHeight="false" outlineLevel="0" collapsed="false">
      <c r="A55" s="6"/>
      <c r="B55" s="6"/>
      <c r="C55" s="6"/>
      <c r="E55" s="6"/>
      <c r="G55" s="6"/>
    </row>
    <row r="56" customFormat="false" ht="15.75" hidden="false" customHeight="false" outlineLevel="0" collapsed="false">
      <c r="A56" s="6"/>
      <c r="B56" s="6"/>
      <c r="C56" s="6"/>
      <c r="E56" s="6"/>
      <c r="G56" s="6"/>
    </row>
    <row r="57" customFormat="false" ht="15.75" hidden="false" customHeight="false" outlineLevel="0" collapsed="false">
      <c r="A57" s="6"/>
      <c r="B57" s="6"/>
      <c r="C57" s="6"/>
      <c r="E57" s="6"/>
      <c r="G57" s="6"/>
    </row>
    <row r="58" customFormat="false" ht="15.75" hidden="false" customHeight="false" outlineLevel="0" collapsed="false">
      <c r="A58" s="6"/>
      <c r="B58" s="6"/>
      <c r="C58" s="6"/>
      <c r="E58" s="6"/>
      <c r="G58" s="6"/>
    </row>
    <row r="59" customFormat="false" ht="15.75" hidden="false" customHeight="false" outlineLevel="0" collapsed="false">
      <c r="A59" s="6"/>
      <c r="B59" s="6"/>
      <c r="C59" s="6"/>
      <c r="E59" s="6"/>
      <c r="G59" s="6"/>
    </row>
    <row r="60" customFormat="false" ht="15.75" hidden="false" customHeight="false" outlineLevel="0" collapsed="false">
      <c r="A60" s="6"/>
      <c r="B60" s="6"/>
      <c r="C60" s="6"/>
      <c r="E60" s="6"/>
      <c r="G60" s="6"/>
    </row>
    <row r="61" customFormat="false" ht="15.75" hidden="false" customHeight="false" outlineLevel="0" collapsed="false">
      <c r="A61" s="6"/>
      <c r="B61" s="6"/>
      <c r="C61" s="6"/>
      <c r="E61" s="6"/>
      <c r="G61" s="6"/>
    </row>
  </sheetData>
  <conditionalFormatting sqref="F3:F11">
    <cfRule type="containsText" priority="2" operator="containsText" aboveAverage="0" equalAverage="0" bottom="0" percent="0" rank="0" text="Approved" dxfId="1">
      <formula>NOT(ISERROR(SEARCH("Approved",F3)))</formula>
    </cfRule>
    <cfRule type="containsText" priority="3" operator="containsText" aboveAverage="0" equalAverage="0" bottom="0" percent="0" rank="0" text="Needs Review" dxfId="5">
      <formula>NOT(ISERROR(SEARCH("Needs Review",F3)))</formula>
    </cfRule>
    <cfRule type="containsText" priority="4" operator="containsText" aboveAverage="0" equalAverage="0" bottom="0" percent="0" rank="0" text="Not Started" dxfId="8">
      <formula>NOT(ISERROR(SEARCH("Not Started",F3)))</formula>
    </cfRule>
    <cfRule type="containsText" priority="5" operator="containsText" aboveAverage="0" equalAverage="0" bottom="0" percent="0" rank="0" text="On Hold" dxfId="9">
      <formula>NOT(ISERROR(SEARCH("On Hold",F3)))</formula>
    </cfRule>
    <cfRule type="containsText" priority="6" operator="containsText" aboveAverage="0" equalAverage="0" bottom="0" percent="0" rank="0" text="Overdue" dxfId="10">
      <formula>NOT(ISERROR(SEARCH("Overdue",F3)))</formula>
    </cfRule>
    <cfRule type="containsText" priority="7" operator="containsText" aboveAverage="0" equalAverage="0" bottom="0" percent="0" rank="0" text="Complete" dxfId="11">
      <formula>NOT(ISERROR(SEARCH("Complete",F3)))</formula>
    </cfRule>
    <cfRule type="containsText" priority="8" operator="containsText" aboveAverage="0" equalAverage="0" bottom="0" percent="0" rank="0" text="In Progress" dxfId="12">
      <formula>NOT(ISERROR(SEARCH("In Progress",F3)))</formula>
    </cfRule>
  </conditionalFormatting>
  <conditionalFormatting sqref="D3:D5">
    <cfRule type="containsText" priority="9" operator="containsText" aboveAverage="0" equalAverage="0" bottom="0" percent="0" rank="0" text="Low" dxfId="15">
      <formula>NOT(ISERROR(SEARCH("Low",D3)))</formula>
    </cfRule>
    <cfRule type="containsText" priority="10" operator="containsText" aboveAverage="0" equalAverage="0" bottom="0" percent="0" rank="0" text="Medium" dxfId="16">
      <formula>NOT(ISERROR(SEARCH("Medium",D3)))</formula>
    </cfRule>
    <cfRule type="containsText" priority="11" operator="containsText" aboveAverage="0" equalAverage="0" bottom="0" percent="0" rank="0" text="High" dxfId="17">
      <formula>NOT(ISERROR(SEARCH("High",D3)))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2015-08-28T20:34:30Z</dcterms:created>
  <dc:creator>Bess</dc:creator>
  <dc:description/>
  <dc:language>en-US</dc:language>
  <cp:lastModifiedBy>MARIA DEL PILAR NIÑO CAMPOS</cp:lastModifiedBy>
  <dcterms:modified xsi:type="dcterms:W3CDTF">2026-10-28T10:26:07Z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